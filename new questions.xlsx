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EBOOK\Downloads\file\"/>
    </mc:Choice>
  </mc:AlternateContent>
  <xr:revisionPtr revIDLastSave="0" documentId="8_{1DC63123-FB6B-4BA8-9E40-C7DC29516A42}" xr6:coauthVersionLast="47" xr6:coauthVersionMax="47" xr10:uidLastSave="{00000000-0000-0000-0000-000000000000}"/>
  <bookViews>
    <workbookView xWindow="-110" yWindow="-110" windowWidth="19420" windowHeight="10300" xr2:uid="{A9B1E024-B834-4886-B627-546D5C68FB5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5" i="1" l="1"/>
  <c r="J125" i="1"/>
  <c r="G42" i="1"/>
  <c r="H42" i="1"/>
  <c r="I42" i="1"/>
  <c r="J42" i="1"/>
</calcChain>
</file>

<file path=xl/sharedStrings.xml><?xml version="1.0" encoding="utf-8"?>
<sst xmlns="http://schemas.openxmlformats.org/spreadsheetml/2006/main" count="2101" uniqueCount="1246">
  <si>
    <t>Concours</t>
  </si>
  <si>
    <t>Matière</t>
  </si>
  <si>
    <t>Année</t>
  </si>
  <si>
    <t>ExamID</t>
  </si>
  <si>
    <t>N° Question</t>
  </si>
  <si>
    <t>Énoncé</t>
  </si>
  <si>
    <t>Option A</t>
  </si>
  <si>
    <t>Option B</t>
  </si>
  <si>
    <t>Option C</t>
  </si>
  <si>
    <t>Option D</t>
  </si>
  <si>
    <t>Bonne réponse</t>
  </si>
  <si>
    <t>Explication</t>
  </si>
  <si>
    <t>ENCG</t>
  </si>
  <si>
    <t>Résolution de problèmes</t>
  </si>
  <si>
    <t>SUPREPA-ENCG-001</t>
  </si>
  <si>
    <t>#1</t>
  </si>
  <si>
    <t>Un commerçant applique une remise de 15% sur un article, puis une seconde remise de 10% sur le prix déjà réduit. Quel est le pourcentage de réduction total ?</t>
  </si>
  <si>
    <t>A</t>
  </si>
  <si>
    <t>Soit P le prix initial. Après la 1ère remise : 0.85P. Après la 2ème : 0.85P * 0.90 = 0.765P. La réduction totale est de 1 - 0.765 = 0.235 = 23.5%.</t>
  </si>
  <si>
    <t>Linguistique</t>
  </si>
  <si>
    <t>SUPREPA-ENCG-002</t>
  </si>
  <si>
    <t>#2</t>
  </si>
  <si>
    <t>Choisissez la phrase correctement orthographiée :</t>
  </si>
  <si>
    <t>Les résulats de l'enquête sont disponnibles.</t>
  </si>
  <si>
    <t>Les résultats de l'enquête sont disponibles.</t>
  </si>
  <si>
    <t>Les résultats de l'enquête sont disponible.</t>
  </si>
  <si>
    <t>B</t>
  </si>
  <si>
    <t>"Résultats" prend un seul 's' après le 'é'. "Disponibles" s'écrit avec un seul 'n' et s'accorde au pluriel.</t>
  </si>
  <si>
    <t>Culture Générale</t>
  </si>
  <si>
    <t>SUPREPA-ENCG-003</t>
  </si>
  <si>
    <t>#3</t>
  </si>
  <si>
    <t>Quelle est la devise du Maroc ?</t>
  </si>
  <si>
    <t>Dieu, la Patrie, le Roi</t>
  </si>
  <si>
    <t>Liberté, Égalité, Fraternité</t>
  </si>
  <si>
    <t>Allah, le Roi, la Nation</t>
  </si>
  <si>
    <t>Unité, Travail, Progrès</t>
  </si>
  <si>
    <t>La devise officielle du Maroc est "Dieu, la Patrie, le Roi".</t>
  </si>
  <si>
    <t>SUPREPA-ENCG-004</t>
  </si>
  <si>
    <t>#4</t>
  </si>
  <si>
    <t>La somme de deux nombres est 45 et leur différence est 9. Quel est le plus grand des deux nombres ?</t>
  </si>
  <si>
    <t>Soit x et y les deux nombres. x + y = 45 et x - y = 9. En additionnant : 2x = 54 =&gt; x = 27.</t>
  </si>
  <si>
    <t>SUPREPA-ENCG-005</t>
  </si>
  <si>
    <t>#5</t>
  </si>
  <si>
    <r>
      <t>"Il a une </t>
    </r>
    <r>
      <rPr>
        <sz val="8"/>
        <color rgb="FF0F1115"/>
        <rFont val="Segoe UI"/>
        <family val="2"/>
      </rPr>
      <t>éloquence</t>
    </r>
    <r>
      <rPr>
        <sz val="8"/>
        <color rgb="FF0F1115"/>
        <rFont val="Segoe UI"/>
        <family val="2"/>
      </rPr>
      <t> naturelle." Que signifie le mot en gras ?</t>
    </r>
  </si>
  <si>
    <t>Art de bien parler</t>
  </si>
  <si>
    <t>Art de bien écrire</t>
  </si>
  <si>
    <t>Capacité à écouter</t>
  </si>
  <si>
    <t>Talent pour les langues</t>
  </si>
  <si>
    <t>L'éloquence est l'art ou la capacité de bien parler, de persuader par la parole.</t>
  </si>
  <si>
    <t>SUPREPA-ENCG-006</t>
  </si>
  <si>
    <t>#6</t>
  </si>
  <si>
    <t>Dans quelle ville se trouve le Parlement Européen ?</t>
  </si>
  <si>
    <t>Bruxelles</t>
  </si>
  <si>
    <t>Strasbourg</t>
  </si>
  <si>
    <t>Luxembourg</t>
  </si>
  <si>
    <t>Francfort</t>
  </si>
  <si>
    <t>Le siège officiel du Parlement Européen est à Strasbourg, en France.</t>
  </si>
  <si>
    <t>SUPREPA-ENCG-007</t>
  </si>
  <si>
    <t>#7</t>
  </si>
  <si>
    <t>Un véhicule consomme 6L d'essence pour 100 km. Combien consomme-t-il pour 250 km ?</t>
  </si>
  <si>
    <t>12 L</t>
  </si>
  <si>
    <t>15 L</t>
  </si>
  <si>
    <t>18 L</t>
  </si>
  <si>
    <t>20 L</t>
  </si>
  <si>
    <t>(6/100) * 250 = 15 L.</t>
  </si>
  <si>
    <t>SUPREPA-ENCG-008</t>
  </si>
  <si>
    <t>#8</t>
  </si>
  <si>
    <t>Quelle est la fonction de "dont" dans la phrase : "Le livre dont je parle est intéressant" ?</t>
  </si>
  <si>
    <t>Pronom relatif</t>
  </si>
  <si>
    <t>Conjonction de subordination</t>
  </si>
  <si>
    <t>Adverbe</t>
  </si>
  <si>
    <t>Préposition</t>
  </si>
  <si>
    <t>"Dont" est un pronom relatif qui remplace un complément introduit par la préposition "de".</t>
  </si>
  <si>
    <t>SUPREPA-ENCG-009</t>
  </si>
  <si>
    <t>#9</t>
  </si>
  <si>
    <t>Que signifie le sigle "FIFA" ?</t>
  </si>
  <si>
    <t>Fédération Internationale de Football Association</t>
  </si>
  <si>
    <t>Fédération Internationale de Football Américain</t>
  </si>
  <si>
    <t>Fédération Internationale des Fédérations Africaines</t>
  </si>
  <si>
    <t>Football International des Fédérations Associées</t>
  </si>
  <si>
    <t>FIFA est l'acronyme de Fédération Internationale de Football Association.</t>
  </si>
  <si>
    <t>SUPREPA-ENCG-010</t>
  </si>
  <si>
    <t>#10</t>
  </si>
  <si>
    <t>Un père a 36 ans et son fils 8 ans. Dans combien d'années l'âge du père sera-t-il le triple de l'âge du fils ?</t>
  </si>
  <si>
    <t>4 ans</t>
  </si>
  <si>
    <t>6 ans</t>
  </si>
  <si>
    <t>8 ans</t>
  </si>
  <si>
    <t>10 ans</t>
  </si>
  <si>
    <t>Soit x le nombre d'années. 36 + x = 3(8 + x) =&gt; 36 + x = 24 + 3x =&gt; 12 = 2x =&gt; x = 6.</t>
  </si>
  <si>
    <t>SUPREPA-ENCG-011</t>
  </si>
  <si>
    <t>#11</t>
  </si>
  <si>
    <r>
      <t>"Je </t>
    </r>
    <r>
      <rPr>
        <sz val="8"/>
        <color rgb="FF0F1115"/>
        <rFont val="Segoe UI"/>
        <family val="2"/>
      </rPr>
      <t>préviendrai</t>
    </r>
    <r>
      <rPr>
        <sz val="8"/>
        <color rgb="FF0F1115"/>
        <rFont val="Segoe UI"/>
        <family val="2"/>
      </rPr>
      <t> le directeur demain." Le verbe est conjugué au :</t>
    </r>
  </si>
  <si>
    <t>Futur simple</t>
  </si>
  <si>
    <t>Conditionnel présent</t>
  </si>
  <si>
    <t>Présent de l'indicatif</t>
  </si>
  <si>
    <t>Futur antérieur</t>
  </si>
  <si>
    <t>"Préviendrai" est la première personne du singulier du futur simple du verbe prévenir.</t>
  </si>
  <si>
    <t>SUPREPA-ENCG-012</t>
  </si>
  <si>
    <t>#12</t>
  </si>
  <si>
    <t>Lequel de ces pays est situé en Asie du Sud-Est ?</t>
  </si>
  <si>
    <t>Inde</t>
  </si>
  <si>
    <t>Vietnam</t>
  </si>
  <si>
    <t>Chine</t>
  </si>
  <si>
    <t>Thaïlande</t>
  </si>
  <si>
    <t>D</t>
  </si>
  <si>
    <t>La Thaïlande est un pays d'Asie du Sud-Est. L'Inde et la Chine sont en Asie du Sud et de l'Est respectivement.</t>
  </si>
  <si>
    <t>SUPREPA-ENCG-013</t>
  </si>
  <si>
    <t>#13</t>
  </si>
  <si>
    <t>Un réservoir contient 1200 L d'eau. On vide 35% du réservoir. Combien de litres reste-t-il ?</t>
  </si>
  <si>
    <t>420 L</t>
  </si>
  <si>
    <t>780 L</t>
  </si>
  <si>
    <t>800 L</t>
  </si>
  <si>
    <t>880 L</t>
  </si>
  <si>
    <t>1200 * 0.65 = 780 L.</t>
  </si>
  <si>
    <t>SUPREPA-ENCG-014</t>
  </si>
  <si>
    <t>#14</t>
  </si>
  <si>
    <r>
      <t>"Il a </t>
    </r>
    <r>
      <rPr>
        <sz val="8"/>
        <color rgb="FF0F1115"/>
        <rFont val="Segoe UI"/>
        <family val="2"/>
      </rPr>
      <t>érigé</t>
    </r>
    <r>
      <rPr>
        <sz val="8"/>
        <color rgb="FF0F1115"/>
        <rFont val="Segoe UI"/>
        <family val="2"/>
      </rPr>
      <t> un monument à la mémoire des héros." L'antonyme du mot en gras est :</t>
    </r>
  </si>
  <si>
    <t>Détruit</t>
  </si>
  <si>
    <t>Construit</t>
  </si>
  <si>
    <t>Honoré</t>
  </si>
  <si>
    <t>Célébré</t>
  </si>
  <si>
    <t>Ériger signifie construire, dresser. L'antonyme est détruire.</t>
  </si>
  <si>
    <t>SUPREPA-ENCG-015</t>
  </si>
  <si>
    <t>#15</t>
  </si>
  <si>
    <t>Qui a écrit "Les Misérables" ?</t>
  </si>
  <si>
    <t>Alexandre Dumas</t>
  </si>
  <si>
    <t>Victor Hugo</t>
  </si>
  <si>
    <t>Émile Zola</t>
  </si>
  <si>
    <t>Gustave Flaubert</t>
  </si>
  <si>
    <t>"Les Misérables" est un roman majeur de Victor Hugo.</t>
  </si>
  <si>
    <t>SUPREPA-ENCG-016</t>
  </si>
  <si>
    <t>#16</t>
  </si>
  <si>
    <t>Un rectangle a une longueur de 15 cm et une largeur de 8 cm. Quelle est la longueur de sa diagonale ?</t>
  </si>
  <si>
    <t>13 cm</t>
  </si>
  <si>
    <t>17 cm</t>
  </si>
  <si>
    <t>23 cm</t>
  </si>
  <si>
    <t>12 cm</t>
  </si>
  <si>
    <t>Diagonale² = 15² + 8² = 225 + 64 = 289. Diagonale = √289 = 17 cm.</t>
  </si>
  <si>
    <t>SUPREPA-ENCG-017</t>
  </si>
  <si>
    <t>#17</t>
  </si>
  <si>
    <t>Le mot "incroyable" est formé par :</t>
  </si>
  <si>
    <t>Radical + suffixe</t>
  </si>
  <si>
    <t>Préfixe + radical</t>
  </si>
  <si>
    <t>Radical + préfixe + suffixe</t>
  </si>
  <si>
    <t>Préfixe + radical + suffixe</t>
  </si>
  <si>
    <t>"in-" est le préfixe, "-croy-" est le radical, "-able" est le suffixe.</t>
  </si>
  <si>
    <t>SUPREPA-ENCG-018</t>
  </si>
  <si>
    <t>#18</t>
  </si>
  <si>
    <t>Laquelle de ces villes est la capitale de l'Australie ?</t>
  </si>
  <si>
    <t>Sydney</t>
  </si>
  <si>
    <t>Melbourne</t>
  </si>
  <si>
    <t>Canberra</t>
  </si>
  <si>
    <t>Perth</t>
  </si>
  <si>
    <t>C</t>
  </si>
  <si>
    <t>Canberra est la capitale de l'Australie.</t>
  </si>
  <si>
    <t>SUPREPA-ENCG-019</t>
  </si>
  <si>
    <t>#19</t>
  </si>
  <si>
    <t>Un triangle isocèle a un périmètre de 32 cm. Si sa base mesure 12 cm, quelle est la longueur de chacun des côtés égaux ?</t>
  </si>
  <si>
    <t>8 cm</t>
  </si>
  <si>
    <t>10 cm</t>
  </si>
  <si>
    <t>14 cm</t>
  </si>
  <si>
    <t>Soit l la longueur des côtés égaux. 2l + 12 = 32 =&gt; 2l = 20 =&gt; l = 10 cm.</t>
  </si>
  <si>
    <t>SUPREPA-ENCG-020</t>
  </si>
  <si>
    <t>#20</t>
  </si>
  <si>
    <r>
      <t>"Elle </t>
    </r>
    <r>
      <rPr>
        <sz val="8"/>
        <color rgb="FF0F1115"/>
        <rFont val="Segoe UI"/>
        <family val="2"/>
      </rPr>
      <t>s'est</t>
    </r>
    <r>
      <rPr>
        <sz val="8"/>
        <color rgb="FF0F1115"/>
        <rFont val="Segoe UI"/>
        <family val="2"/>
      </rPr>
      <t> lavé les mains." Le participe passé "lavé" est :</t>
    </r>
  </si>
  <si>
    <t>Invariable</t>
  </si>
  <si>
    <t>Accordé avec "elle"</t>
  </si>
  <si>
    <t>Accordé avec "mains"</t>
  </si>
  <si>
    <t>Accordé avec "se"</t>
  </si>
  <si>
    <t>Dans "se laver les mains", le pronom "se" est COI. Le COD "les mains" est placé après le verbe. Le participe passé reste donc invariable.</t>
  </si>
  <si>
    <t>SUPREPA-ENCG-021</t>
  </si>
  <si>
    <t>#21</t>
  </si>
  <si>
    <t>Un investissement de 5000 DH rapporte 6% d'intérêts par an. Quel sera le capital après 3 ans si les intérêts sont simples ?</t>
  </si>
  <si>
    <t>5900 DH</t>
  </si>
  <si>
    <t>5955 DH</t>
  </si>
  <si>
    <t>6000 DH</t>
  </si>
  <si>
    <t>6500 DH</t>
  </si>
  <si>
    <t>Intérêts = 5000 * 0.06 * 3 = 900. Capital final = 5000 + 900 = 5900 DH.</t>
  </si>
  <si>
    <t>SUPREPA-ENCG-022</t>
  </si>
  <si>
    <t>#22</t>
  </si>
  <si>
    <r>
      <t>"Le </t>
    </r>
    <r>
      <rPr>
        <sz val="8"/>
        <color rgb="FF0F1115"/>
        <rFont val="Segoe UI"/>
        <family val="2"/>
      </rPr>
      <t>silence</t>
    </r>
    <r>
      <rPr>
        <sz val="8"/>
        <color rgb="FF0F1115"/>
        <rFont val="Segoe UI"/>
        <family val="2"/>
      </rPr>
      <t> est d'or." La nature du mot en gras est :</t>
    </r>
  </si>
  <si>
    <t>Nom commun</t>
  </si>
  <si>
    <t>Adjectif</t>
  </si>
  <si>
    <t>Verbe</t>
  </si>
  <si>
    <t>"Silence" est un nom commun masculin singulier.</t>
  </si>
  <si>
    <t>SUPREPA-ENCG-023</t>
  </si>
  <si>
    <t>#23</t>
  </si>
  <si>
    <t>En quelle année la Tour Eiffel a-t-elle été construite ?</t>
  </si>
  <si>
    <t>La Tour Eiffel a été construite en 1889 pour l'Exposition Universelle.</t>
  </si>
  <si>
    <t>SUPREPA-ENCG-024</t>
  </si>
  <si>
    <t>#24</t>
  </si>
  <si>
    <t>Un ouvrier gagne 120 DH par jour. S'il travaille 6 jours par semaine, quel est son salaire mensuel (4 semaines) ?</t>
  </si>
  <si>
    <t>2880 DH</t>
  </si>
  <si>
    <t>2520 DH</t>
  </si>
  <si>
    <t>3600 DH</t>
  </si>
  <si>
    <t>3000 DH</t>
  </si>
  <si>
    <t>Salaire hebdomadaire = 120 * 6 = 720. Salaire mensuel = 720 * 4 = 2880 DH.</t>
  </si>
  <si>
    <t>SUPREPA-ENCG-025</t>
  </si>
  <si>
    <t>#25</t>
  </si>
  <si>
    <r>
      <t>"Cette affaire est </t>
    </r>
    <r>
      <rPr>
        <sz val="8"/>
        <color rgb="FF0F1115"/>
        <rFont val="Segoe UI"/>
        <family val="2"/>
      </rPr>
      <t>litigieuse</t>
    </r>
    <r>
      <rPr>
        <sz val="8"/>
        <color rgb="FF0F1115"/>
        <rFont val="Segoe UI"/>
        <family val="2"/>
      </rPr>
      <t>." Que signifie le mot en gras ?</t>
    </r>
  </si>
  <si>
    <t>Contestable</t>
  </si>
  <si>
    <t>Claire</t>
  </si>
  <si>
    <t>Simple</t>
  </si>
  <si>
    <t>Importante</t>
  </si>
  <si>
    <t>Litigieux signifie qui est susceptible d'être contesté en justice, discutable.</t>
  </si>
  <si>
    <t>SUPREPA-ENCG-026</t>
  </si>
  <si>
    <t>#26</t>
  </si>
  <si>
    <t>Quel est le plus grand océan du monde ?</t>
  </si>
  <si>
    <t>Atlantique</t>
  </si>
  <si>
    <t>Indien</t>
  </si>
  <si>
    <t>Pacifique</t>
  </si>
  <si>
    <t>Arctique</t>
  </si>
  <si>
    <t>L'océan Pacifique est le plus grand et le plus profond des océans.</t>
  </si>
  <si>
    <t>SUPREPA-ENCG-027</t>
  </si>
  <si>
    <t>#27</t>
  </si>
  <si>
    <t>Un train roule à 90 km/h. Quelle distance parcourt-il en 45 minutes ?</t>
  </si>
  <si>
    <t>45 km</t>
  </si>
  <si>
    <t>67.5 km</t>
  </si>
  <si>
    <t>90 km</t>
  </si>
  <si>
    <t>135 km</t>
  </si>
  <si>
    <t>45 minutes = 0.75 h. Distance = 90 * 0.75 = 67.5 km.</t>
  </si>
  <si>
    <t>SUPREPA-ENCG-028</t>
  </si>
  <si>
    <t>#28</t>
  </si>
  <si>
    <r>
      <t>"Il </t>
    </r>
    <r>
      <rPr>
        <sz val="8"/>
        <color rgb="FF0F1115"/>
        <rFont val="Segoe UI"/>
        <family val="2"/>
      </rPr>
      <t>convient</t>
    </r>
    <r>
      <rPr>
        <sz val="8"/>
        <color rgb="FF0F1115"/>
        <rFont val="Segoe UI"/>
        <family val="2"/>
      </rPr>
      <t> de se taire." Le verbe est au :</t>
    </r>
  </si>
  <si>
    <t>Imparfait</t>
  </si>
  <si>
    <t>Futur</t>
  </si>
  <si>
    <t>Conditionnel</t>
  </si>
  <si>
    <t>"Convient" est la troisième personne du singulier du présent de l'indicatif du verbe convenir.</t>
  </si>
  <si>
    <t>SUPREPA-ENCG-029</t>
  </si>
  <si>
    <t>#29</t>
  </si>
  <si>
    <t>Qui a découvert la pénicilline ?</t>
  </si>
  <si>
    <t>Louis Pasteur</t>
  </si>
  <si>
    <t>Alexander Fleming</t>
  </si>
  <si>
    <t>Robert Koch</t>
  </si>
  <si>
    <t>Joseph Lister</t>
  </si>
  <si>
    <t>Alexander Fleming a découvert la pénicilline en 1928.</t>
  </si>
  <si>
    <t>SUPREPA-ENCG-030</t>
  </si>
  <si>
    <t>#30</t>
  </si>
  <si>
    <t>Un commerçant achète un article à 150 DH et le revend à 180 DH. Quel est son pourcentage de bénéfice ?</t>
  </si>
  <si>
    <t>Bénéfice = 180 - 150 = 30. Pourcentage = (30/150) * 100 = 20%.</t>
  </si>
  <si>
    <t>SUPREPA-ENCG-031</t>
  </si>
  <si>
    <t>#31</t>
  </si>
  <si>
    <r>
      <t>"Le mot </t>
    </r>
    <r>
      <rPr>
        <sz val="8"/>
        <color rgb="FF0F1115"/>
        <rFont val="Segoe UI"/>
        <family val="2"/>
      </rPr>
      <t>prolifique</t>
    </r>
    <r>
      <rPr>
        <sz val="8"/>
        <color rgb="FF0F1115"/>
        <rFont val="Segoe UI"/>
        <family val="2"/>
      </rPr>
      <t> signifie :"</t>
    </r>
  </si>
  <si>
    <t>Qui produit beaucoup</t>
  </si>
  <si>
    <t>Qui est fertile</t>
  </si>
  <si>
    <t>Qui est abondant</t>
  </si>
  <si>
    <t>Toutes ces réponses</t>
  </si>
  <si>
    <t>Prolifique signifie qui produit beaucoup, qui est fécond, abondant.</t>
  </si>
  <si>
    <t>SUPREPA-ENCG-032</t>
  </si>
  <si>
    <t>#32</t>
  </si>
  <si>
    <t>Lequel de ces pays est connu pour sa production de café ?</t>
  </si>
  <si>
    <t>Brésil</t>
  </si>
  <si>
    <t>Arabie Saoudite</t>
  </si>
  <si>
    <t>Australie</t>
  </si>
  <si>
    <t>Canada</t>
  </si>
  <si>
    <t>Le Brésil est le plus grand producteur et exportateur de café au monde.</t>
  </si>
  <si>
    <t>SUPREPA-ENCG-033</t>
  </si>
  <si>
    <t>#33</t>
  </si>
  <si>
    <t>Si on augmente le côté d'un carré de 10%, son aire augmente de :</t>
  </si>
  <si>
    <t>Soit c le côté initial. Nouveau côté = 1.10c. Nouvelle aire = (1.10c)² = 1.21c². Augmentation = 21%.</t>
  </si>
  <si>
    <t>SUPREPA-ENCG-034</t>
  </si>
  <si>
    <t>#34</t>
  </si>
  <si>
    <r>
      <t>"Il a </t>
    </r>
    <r>
      <rPr>
        <sz val="8"/>
        <color rgb="FF0F1115"/>
        <rFont val="Segoe UI"/>
        <family val="2"/>
      </rPr>
      <t>reçu</t>
    </r>
    <r>
      <rPr>
        <sz val="8"/>
        <color rgb="FF0F1115"/>
        <rFont val="Segoe UI"/>
        <family val="2"/>
      </rPr>
      <t> une lettre." Le participe passé est :</t>
    </r>
  </si>
  <si>
    <t>Accordé avec "il"</t>
  </si>
  <si>
    <t>Accordé avec "lettre"</t>
  </si>
  <si>
    <t>Ne s'accorde pas</t>
  </si>
  <si>
    <t>Le COD "lettre" est placé après le verbe, donc le participe passé "reçu" ne s'accorde pas.</t>
  </si>
  <si>
    <t>SUPREPA-ENCG-035</t>
  </si>
  <si>
    <t>#35</t>
  </si>
  <si>
    <t>Quelle est la monnaie officielle du Japon ?</t>
  </si>
  <si>
    <t>Won</t>
  </si>
  <si>
    <t>Yuan</t>
  </si>
  <si>
    <t>Yen</t>
  </si>
  <si>
    <t>Rouble</t>
  </si>
  <si>
    <t>La monnaie officielle du Japon est le Yen (JPY).</t>
  </si>
  <si>
    <t>SUPREPA-ENCG-036</t>
  </si>
  <si>
    <t>#36</t>
  </si>
  <si>
    <t>Une classe de 25 élèves a une moyenne de 12/20. Si un élève obtient 18/20, la nouvelle moyenne est :</t>
  </si>
  <si>
    <t>Somme des notes = 25 * 12 = 300. Nouvelle somme = 300 + 18 = 318. Nouvelle moyenne = 318/26 = 12.23.</t>
  </si>
  <si>
    <t>SUPREPA-ENCG-037</t>
  </si>
  <si>
    <t>#37</t>
  </si>
  <si>
    <r>
      <t>"Ce sont des questions </t>
    </r>
    <r>
      <rPr>
        <sz val="8"/>
        <color rgb="FF0F1115"/>
        <rFont val="Segoe UI"/>
        <family val="2"/>
      </rPr>
      <t>subsidiaires</t>
    </r>
    <r>
      <rPr>
        <sz val="8"/>
        <color rgb="FF0F1115"/>
        <rFont val="Segoe UI"/>
        <family val="2"/>
      </rPr>
      <t>." Que signifie le mot en gras ?</t>
    </r>
  </si>
  <si>
    <t>Principales</t>
  </si>
  <si>
    <t>Accessoires</t>
  </si>
  <si>
    <t>Importantes</t>
  </si>
  <si>
    <t>Urgentes</t>
  </si>
  <si>
    <t>Subsidiaire signifie qui est accessoire, qui vient en aide ou en complément.</t>
  </si>
  <si>
    <t>SUPREPA-ENCG-038</t>
  </si>
  <si>
    <t>#38</t>
  </si>
  <si>
    <t>En quelle année le mur de Berlin est-il tombé ?</t>
  </si>
  <si>
    <t>Le mur de Berlin est tombé le 9 novembre 1989.</t>
  </si>
  <si>
    <t>SUPREPA-ENCG-039</t>
  </si>
  <si>
    <t>#39</t>
  </si>
  <si>
    <t>Un capital de 8000 DH est placé à 8% pendant 5 ans. Quel est l'intérêt total ?</t>
  </si>
  <si>
    <t>2400 DH</t>
  </si>
  <si>
    <t>2800 DH</t>
  </si>
  <si>
    <t>3200 DH</t>
  </si>
  <si>
    <t>Intérêt = 8000 * 0.08 * 5 = 3200 DH.</t>
  </si>
  <si>
    <t>SUPREPA-ENCG-040</t>
  </si>
  <si>
    <t>#40</t>
  </si>
  <si>
    <r>
      <t>"Le mot </t>
    </r>
    <r>
      <rPr>
        <sz val="8"/>
        <color rgb="FF0F1115"/>
        <rFont val="Segoe UI"/>
        <family val="2"/>
      </rPr>
      <t>équivoque</t>
    </r>
    <r>
      <rPr>
        <sz val="8"/>
        <color rgb="FF0F1115"/>
        <rFont val="Segoe UI"/>
        <family val="2"/>
      </rPr>
      <t> signifie :"</t>
    </r>
  </si>
  <si>
    <t>Clair</t>
  </si>
  <si>
    <t>Ambigü</t>
  </si>
  <si>
    <t>Précis</t>
  </si>
  <si>
    <t>Équivoque signifie qui est ambigu, qui peut être interprété de plusieurs manières.</t>
  </si>
  <si>
    <t>ENSA</t>
  </si>
  <si>
    <t>Mathématiques</t>
  </si>
  <si>
    <t>SUPREPA-ENSA-001</t>
  </si>
  <si>
    <t>Soit la suite (un) définie par u0 = 3 et un+1 = (un - 1)/(un + 1). Calculer u3.</t>
  </si>
  <si>
    <t>u1 = (3-1)/(3+1) = 1/2. u2 = (1/2 -1)/(1/2 +1) = -1/3. u3 = (-1/3 -1)/(-1/3 +1) = -2.</t>
  </si>
  <si>
    <t>Physique</t>
  </si>
  <si>
    <t>SUPREPA-ENSA-002</t>
  </si>
  <si>
    <t>Une force de 50 N est appliquée à un angle de 45° par rapport au déplacement d'un objet de 10 m. Quel est le travail effectué ? (cos45° = 0.707)</t>
  </si>
  <si>
    <t>250 J</t>
  </si>
  <si>
    <t>353.5 J</t>
  </si>
  <si>
    <t>500 J</t>
  </si>
  <si>
    <t>707 J</t>
  </si>
  <si>
    <t>W = F * d * cos(45°) = 50 * 10 * 0.707 = 353.5 J.</t>
  </si>
  <si>
    <t>Chimie</t>
  </si>
  <si>
    <t>SUPREPA-ENSA-003</t>
  </si>
  <si>
    <t>Combien de moles d'atomes d'hydrogène y a-t-il dans 2 moles d'eau (H₂O) ?</t>
  </si>
  <si>
    <t>2 mol</t>
  </si>
  <si>
    <t>4 mol</t>
  </si>
  <si>
    <t>6 mol</t>
  </si>
  <si>
    <t>8 mol</t>
  </si>
  <si>
    <t>Dans une molécule d'eau, il y a 2 atomes d'hydrogène. Donc dans 2 moles de H₂O, il y a 2 * 2 = 4 moles d'atomes d'hydrogène.</t>
  </si>
  <si>
    <t>SUPREPA-ENSA-004</t>
  </si>
  <si>
    <t>La dérivée de f(x) = cos(x²) est :</t>
  </si>
  <si>
    <t>-2x sin(x²)</t>
  </si>
  <si>
    <t>2x sin(x²)</t>
  </si>
  <si>
    <t>-sin(x²)</t>
  </si>
  <si>
    <t>-2x cos(x²)</t>
  </si>
  <si>
    <t>f'(x) = -sin(x²) * 2x = -2x sin(x²).</t>
  </si>
  <si>
    <t>SUPREPA-ENSA-005</t>
  </si>
  <si>
    <t>Un projectile est lancé à 45° avec une vitesse initiale de 20 m/s. Quelle est sa portée maximale ? (g = 10 m/s²)</t>
  </si>
  <si>
    <t>20 m</t>
  </si>
  <si>
    <t>40 m</t>
  </si>
  <si>
    <t>60 m</t>
  </si>
  <si>
    <t>80 m</t>
  </si>
  <si>
    <t>Portée = v₀² * sin(2θ) / g = 20² * sin(90°) / 10 = 400 * 1 / 10 = 40 m.</t>
  </si>
  <si>
    <t>SUPREPA-ENSA-006</t>
  </si>
  <si>
    <t>Quel est le nom de la molécule CH₃-CH(CH₃)-CH₂-OH ?</t>
  </si>
  <si>
    <t>2-méthylpropan-1-ol</t>
  </si>
  <si>
    <t>2-méthylpropan-2-ol</t>
  </si>
  <si>
    <t>Butan-1-ol</t>
  </si>
  <si>
    <t>2-méthylbutan-1-ol</t>
  </si>
  <si>
    <t>La chaîne principale est le propan-1-ol avec un groupe méthyle sur le carbone 2.</t>
  </si>
  <si>
    <t>SUPREPA-ENSA-007</t>
  </si>
  <si>
    <t>La limite de (x² - 4)/(x - 2) quand x tend vers 2 est :</t>
  </si>
  <si>
    <t>(x² - 4) = (x-2)(x+2). En simplifiant, on obtient x+2. La limite pour x=2 est 4.</t>
  </si>
  <si>
    <t>SUPREPA-ENSA-008</t>
  </si>
  <si>
    <t>Un objet est placé à 20 cm devant un miroir concave de rayon de courbure 30 cm. Où se forme l'image ?</t>
  </si>
  <si>
    <t>15 cm devant le miroir</t>
  </si>
  <si>
    <t>60 cm devant le miroir</t>
  </si>
  <si>
    <t>12 cm devant le miroir</t>
  </si>
  <si>
    <t>30 cm devant le miroir</t>
  </si>
  <si>
    <t>f = R/2 = 15 cm. 1/f = 1/d₀ + 1/dᵢ =&gt; 1/15 = 1/20 + 1/dᵢ =&gt; dᵢ = 60 cm.</t>
  </si>
  <si>
    <t>SUPREPA-ENSA-009</t>
  </si>
  <si>
    <t>Quelle est la charge de l'ion formé par le magnésium (Z=12) ?</t>
  </si>
  <si>
    <t>1+</t>
  </si>
  <si>
    <t>2+</t>
  </si>
  <si>
    <t>1-</t>
  </si>
  <si>
    <t>2-</t>
  </si>
  <si>
    <t>Le magnésium a 12 électrons, configuration [Ne] 3s2. Il perd 2 électrons pour devenir stable, formant l'ion Mg²⁺.</t>
  </si>
  <si>
    <t>SUPREPA-ENSA-010</t>
  </si>
  <si>
    <t>Résoudre l'équation 3^(x-1) = 81.</t>
  </si>
  <si>
    <t>81 = 3⁴. Donc x-1 = 4 =&gt; x = 5.</t>
  </si>
  <si>
    <t>SUPREPA-ENSA-011</t>
  </si>
  <si>
    <t>Une chute d'eau a un débit de 200 L/s et une hauteur de 10 m. Quelle est la puissance potentielle maximale ? (ρ_eau = 1000 kg/m³)</t>
  </si>
  <si>
    <t>20 kW</t>
  </si>
  <si>
    <t>40 kW</t>
  </si>
  <si>
    <t>200 kW</t>
  </si>
  <si>
    <t>1000 kW</t>
  </si>
  <si>
    <t>P = ρ * g * Q * h = 1000 * 10 * (200/1000) * 10 = 20 000 W = 20 kW.</t>
  </si>
  <si>
    <t>SUPREPA-ENSA-012</t>
  </si>
  <si>
    <t>Une solution d'acide sulfurique a un pH de 1. Sa concentration en ions H⁺ est :</t>
  </si>
  <si>
    <t>10⁻¹ mol/L</t>
  </si>
  <si>
    <t>10² mol/L</t>
  </si>
  <si>
    <t>1 mol/L</t>
  </si>
  <si>
    <t>2*10⁻¹ mol/L</t>
  </si>
  <si>
    <t>pH = -log[H⁺] =&gt; [H⁺] = 10⁻¹ mol/L.</t>
  </si>
  <si>
    <t>SUPREPA-ENSA-013</t>
  </si>
  <si>
    <t>L'intégrale de 1 à 2 de 4x dx est :</t>
  </si>
  <si>
    <t>∫₁² 4x dx = [2x²]₁² = 8 - 2 = 6.</t>
  </si>
  <si>
    <t>SUPREPA-ENSA-014</t>
  </si>
  <si>
    <t>Une boule de masse 3 kg est suspendue à un fil. Quelle est la tension du fil ? (g = 9.8 m/s²)</t>
  </si>
  <si>
    <t>29.4 N</t>
  </si>
  <si>
    <t>30 N</t>
  </si>
  <si>
    <t>15 N</t>
  </si>
  <si>
    <t>20 N</t>
  </si>
  <si>
    <t>T = m*g = 3 * 9.8 = 29.4 N.</t>
  </si>
  <si>
    <t>SUPREPA-ENSA-015</t>
  </si>
  <si>
    <t>Le nombre de neutrons dans un atome de chlore-37 (Z=17) est :</t>
  </si>
  <si>
    <t>Nombre de neutrons = A - Z = 37 - 17 = 20.</t>
  </si>
  <si>
    <t>SUPREPA-ENSA-016</t>
  </si>
  <si>
    <t>Quelle est la dérivée de la fonction f(x) = cos(3x) ?</t>
  </si>
  <si>
    <t>-3 sin(3x)</t>
  </si>
  <si>
    <t>3 sin(3x)</t>
  </si>
  <si>
    <t>-sin(3x)</t>
  </si>
  <si>
    <t>sin(3x)</t>
  </si>
  <si>
    <t>f'(x) = -sin(3x) * 3 = -3 sin(3x).</t>
  </si>
  <si>
    <t>SUPREPA-ENSA-017</t>
  </si>
  <si>
    <t>Un son a une fréquence de 880 Hz. Sa période est :</t>
  </si>
  <si>
    <t>1.14 ms</t>
  </si>
  <si>
    <t>2.27 ms</t>
  </si>
  <si>
    <t>1.13 ms</t>
  </si>
  <si>
    <t>4.54 ms</t>
  </si>
  <si>
    <t>T = 1/f = 1/880 = 0.001136 s = 1.14 ms.</t>
  </si>
  <si>
    <t>SUPREPA-ENSA-018</t>
  </si>
  <si>
    <t>Parmi ces éléments, lequel est un métal alcalin ?</t>
  </si>
  <si>
    <t>Calcium</t>
  </si>
  <si>
    <t>Sodium</t>
  </si>
  <si>
    <t>Aluminium</t>
  </si>
  <si>
    <t>Chlore</t>
  </si>
  <si>
    <t>Le sodium (Na) est un métal alcalin (groupe 1).</t>
  </si>
  <si>
    <t>SUPREPA-ENSA-019</t>
  </si>
  <si>
    <t>Soit (un) une suite arithmétique de raison 2. Si u1=5, que vaut u6 ?</t>
  </si>
  <si>
    <r>
      <t>u6 = u1 + (6-1)</t>
    </r>
    <r>
      <rPr>
        <i/>
        <sz val="8"/>
        <color rgb="FF0F1115"/>
        <rFont val="Segoe UI"/>
        <family val="2"/>
      </rPr>
      <t>r = 5 + 5</t>
    </r>
    <r>
      <rPr>
        <sz val="8"/>
        <color rgb="FF0F1115"/>
        <rFont val="Segoe UI"/>
        <family val="2"/>
      </rPr>
      <t>2 = 15.</t>
    </r>
  </si>
  <si>
    <t>SUPREPA-ENSA-020</t>
  </si>
  <si>
    <t>La puissance dissipée par une résistance de 20 Ω traversée par un courant de 1.5 A est :</t>
  </si>
  <si>
    <t>30 W</t>
  </si>
  <si>
    <t>45 W</t>
  </si>
  <si>
    <t>60 W</t>
  </si>
  <si>
    <t>75 W</t>
  </si>
  <si>
    <t>P = R*I² = 20 * 1.5² = 45 W.</t>
  </si>
  <si>
    <t>SUPREPA-ENSA-021</t>
  </si>
  <si>
    <t>Résoudre l'équation 2x² - 5x - 3 = 0.</t>
  </si>
  <si>
    <t>x=3, x=-0.5</t>
  </si>
  <si>
    <t>x=-3, x=0.5</t>
  </si>
  <si>
    <t>x=2, x=-1</t>
  </si>
  <si>
    <t>x=1.5, x=-1</t>
  </si>
  <si>
    <t>Discriminant = 25 - 4*2*(-3) = 49. x = (5 ± 7)/4 =&gt; x = 3 ou x = -0.5.</t>
  </si>
  <si>
    <t>SUPREPA-ENSA-022</t>
  </si>
  <si>
    <t>Une onde a une amplitude de 2 cm et une fréquence de 50 Hz. Quelle est sa vitesse angulaire ?</t>
  </si>
  <si>
    <t>50 rad/s</t>
  </si>
  <si>
    <t>100π rad/s</t>
  </si>
  <si>
    <t>314 rad/s</t>
  </si>
  <si>
    <t>25 rad/s</t>
  </si>
  <si>
    <t>ω = 2πf = 2π * 50 = 100π ≈ 314 rad/s.</t>
  </si>
  <si>
    <t>SUPREPA-ENSA-023</t>
  </si>
  <si>
    <t>La réaction de combustion du méthane est :</t>
  </si>
  <si>
    <t>Endothermique</t>
  </si>
  <si>
    <t>Exothermique</t>
  </si>
  <si>
    <t>Atmique</t>
  </si>
  <si>
    <t>Réversible</t>
  </si>
  <si>
    <t>La combustion est une réaction exothermique qui libère de la chaleur.</t>
  </si>
  <si>
    <t>SUPREPA-ENSA-024</t>
  </si>
  <si>
    <t>Le logarithme népérien de e³ est :</t>
  </si>
  <si>
    <t>e³</t>
  </si>
  <si>
    <t>ln(e³) = 3.</t>
  </si>
  <si>
    <t>SUPREPA-ENSA-025</t>
  </si>
  <si>
    <t>Un objet est soumis à une force résultante nulle. Son mouvement est :</t>
  </si>
  <si>
    <t>Rectiligne uniforme</t>
  </si>
  <si>
    <t>Rectiligne accéléré</t>
  </si>
  <si>
    <t>Circulaire</t>
  </si>
  <si>
    <t>Parabolique</t>
  </si>
  <si>
    <t>D'après la première loi de Newton, si la force résultante est nulle, l'objet est au repos ou en mouvement rectiligne uniforme.</t>
  </si>
  <si>
    <t>SUPREPA-ENSA-026</t>
  </si>
  <si>
    <t>Lequel de ces composés est un alcool secondaire ?</t>
  </si>
  <si>
    <t>CH₃OH</t>
  </si>
  <si>
    <t>CH₃CH₂OH</t>
  </si>
  <si>
    <t>CH₃CH(OH)CH₃</t>
  </si>
  <si>
    <t>CH₃CH₂CH₂OH</t>
  </si>
  <si>
    <t>Un alcool secondaire a le groupe OH sur un carbone lié à deux autres carbones.</t>
  </si>
  <si>
    <t>SUPREPA-ENSA-027</t>
  </si>
  <si>
    <t>La dérivée de f(x) = tan(x) est :</t>
  </si>
  <si>
    <t>sec²(x)</t>
  </si>
  <si>
    <t>-sec²(x)</t>
  </si>
  <si>
    <t>1/cos(x)</t>
  </si>
  <si>
    <t>-1/sin(x)</t>
  </si>
  <si>
    <t>La dérivée de tan(x) est sec²(x) ou 1/cos²(x).</t>
  </si>
  <si>
    <t>SUPREPA-ENSA-028</t>
  </si>
  <si>
    <t>Un objet de 2 kg est lancé verticalement avec une vitesse de 15 m/s. Quelle est son énergie cinétique initiale ?</t>
  </si>
  <si>
    <t>225 J</t>
  </si>
  <si>
    <t>112.5 J</t>
  </si>
  <si>
    <t>450 J</t>
  </si>
  <si>
    <t>75 J</t>
  </si>
  <si>
    <t>Ec = 0.5 * m * v² = 0.5 * 2 * 225 = 225 J.</t>
  </si>
  <si>
    <t>SUPREPA-ENSA-029</t>
  </si>
  <si>
    <t>La formule de l'ion sulfate est :</t>
  </si>
  <si>
    <t>SO₄²⁻</t>
  </si>
  <si>
    <t>SO₃²⁻</t>
  </si>
  <si>
    <t>S²⁻</t>
  </si>
  <si>
    <t>SO₂</t>
  </si>
  <si>
    <t>L'ion sulfate a pour formule SO₄²⁻.</t>
  </si>
  <si>
    <t>SUPREPA-ENSA-030</t>
  </si>
  <si>
    <t>La limite de (sin x)/x quand x tend vers 0 est :</t>
  </si>
  <si>
    <t>∞</t>
  </si>
  <si>
    <t>C'est une limite fondamentale : lim x→0 (sin x)/x = 1.</t>
  </si>
  <si>
    <t>SUPREPA-ENSA-031</t>
  </si>
  <si>
    <t>Le travail d'une force est nul si :</t>
  </si>
  <si>
    <t>La force est nulle</t>
  </si>
  <si>
    <t>Le déplacement est nul</t>
  </si>
  <si>
    <t>La force est perpendiculaire au déplacement</t>
  </si>
  <si>
    <t>W = F*d*cos(θ). Si F=0, d=0 ou θ=90°, le travail est nul.</t>
  </si>
  <si>
    <t>SUPREPA-ENSA-032</t>
  </si>
  <si>
    <t>Un atome d'oxygène a 8 électrons. Sa configuration électronique est :</t>
  </si>
  <si>
    <t>1s²2s²2p⁴</t>
  </si>
  <si>
    <t>1s²2s²2p⁶</t>
  </si>
  <si>
    <t>1s²2s²2p²</t>
  </si>
  <si>
    <t>1s²2s²2p³</t>
  </si>
  <si>
    <t>L'oxygène (Z=8) a pour configuration électronique 1s²2s²2p⁴.</t>
  </si>
  <si>
    <t>SUPREPA-ENSA-033</t>
  </si>
  <si>
    <t>La valeur de la somme des angles d'un quadrilatère est :</t>
  </si>
  <si>
    <t>2π</t>
  </si>
  <si>
    <t>π</t>
  </si>
  <si>
    <t>4π</t>
  </si>
  <si>
    <t>π/2</t>
  </si>
  <si>
    <t>La somme des angles d'un quadrilatère est de 360° soit 2π radians.</t>
  </si>
  <si>
    <t>SUPREPA-ENSA-034</t>
  </si>
  <si>
    <t>Une résistance de 10 Ω est parcourue par un courant de 4 A. La puissance dissipée est :</t>
  </si>
  <si>
    <t>160 W</t>
  </si>
  <si>
    <t>40 W</t>
  </si>
  <si>
    <t>100 W</t>
  </si>
  <si>
    <t>400 W</t>
  </si>
  <si>
    <t>P = R * I² = 10 * 16 = 160 W.</t>
  </si>
  <si>
    <t>SUPREPA-ENSA-035</t>
  </si>
  <si>
    <t>Lequel de ces éléments est un halogène ?</t>
  </si>
  <si>
    <t>Fluor</t>
  </si>
  <si>
    <t>Oxygène</t>
  </si>
  <si>
    <t>Azote</t>
  </si>
  <si>
    <t>Carbone</t>
  </si>
  <si>
    <t>Les halogènes sont les éléments du groupe 17 : F, Cl, Br, I, At.</t>
  </si>
  <si>
    <t>SUPREPA-ENSA-036</t>
  </si>
  <si>
    <t>Résoudre l'équation log₂(x) = 3.</t>
  </si>
  <si>
    <t>log₂(x) = 3 =&gt; x = 2³ = 8.</t>
  </si>
  <si>
    <t>SUPREPA-ENSA-037</t>
  </si>
  <si>
    <t>Un objet de 5 kg est soumis à une force de 20 N. Son accélération est :</t>
  </si>
  <si>
    <t>2 m/s²</t>
  </si>
  <si>
    <t>4 m/s²</t>
  </si>
  <si>
    <t>100 m/s²</t>
  </si>
  <si>
    <t>0.25 m/s²</t>
  </si>
  <si>
    <t>a = F/m = 20/5 = 4 m/s².</t>
  </si>
  <si>
    <t>SUPREPA-ENSA-038</t>
  </si>
  <si>
    <t>La réaction entre un acide et une base forme :</t>
  </si>
  <si>
    <t>Un sel et de l'eau</t>
  </si>
  <si>
    <t>Un ester et de l'eau</t>
  </si>
  <si>
    <t>Un alcool et un sel</t>
  </si>
  <si>
    <t>Un gaz et un sel</t>
  </si>
  <si>
    <t>La réaction de neutralisation entre un acide et une base produit un sel et de l'eau.</t>
  </si>
  <si>
    <t>SUPREPA-ENSA-039</t>
  </si>
  <si>
    <t>La primitive de f(x) = x³ est :</t>
  </si>
  <si>
    <t>x⁴/4 + C</t>
  </si>
  <si>
    <t>x⁴ + C</t>
  </si>
  <si>
    <t>3x² + C</t>
  </si>
  <si>
    <t>x²/2 + C</t>
  </si>
  <si>
    <t>La primitive de x³ est x⁴/4 + C.</t>
  </si>
  <si>
    <t>SUPREPA-ENSA-040</t>
  </si>
  <si>
    <t>La période d'un pendule simple de 1 m est (g=10 m/s²) :</t>
  </si>
  <si>
    <t>1.99 s</t>
  </si>
  <si>
    <t>2.0 s</t>
  </si>
  <si>
    <t>1.0 s</t>
  </si>
  <si>
    <t>0.5 s</t>
  </si>
  <si>
    <t>T = 2π√(L/g) = 2π√(1/10) = 1.99 s.</t>
  </si>
  <si>
    <t>ENSAM</t>
  </si>
  <si>
    <t>SUPREPA-ENSAM-001</t>
  </si>
  <si>
    <t>Le nombre complexe z = (1-i)² a pour argument :</t>
  </si>
  <si>
    <t>-π/2</t>
  </si>
  <si>
    <t>π/4</t>
  </si>
  <si>
    <t>-π/4</t>
  </si>
  <si>
    <t>z = 1 - 2i + i² = -2i. C'est un imaginaire pur négatif, donc arg(z) = -π/2.</t>
  </si>
  <si>
    <t>SUPREPA-ENSAM-002</t>
  </si>
  <si>
    <t>Un pendule simple de longueur L a une période T. Si la longueur est divisée par 4, la nouvelle période sera :</t>
  </si>
  <si>
    <t>T/2</t>
  </si>
  <si>
    <t>T/4</t>
  </si>
  <si>
    <t>2T</t>
  </si>
  <si>
    <t>4T</t>
  </si>
  <si>
    <t>T = 2π√(L/g). Si L' = L/4, alors T' = 2π√(L/(4g)) = T/2.</t>
  </si>
  <si>
    <t>SUPREPA-ENSAM-003</t>
  </si>
  <si>
    <t>Pour la réaction 2SO₂ + O₂ ⇌ 2SO₃, si la pression est augmentée, l'équilibre se déplace vers :</t>
  </si>
  <si>
    <t>Les réactifs</t>
  </si>
  <si>
    <t>Les produits</t>
  </si>
  <si>
    <t>Ne change pas</t>
  </si>
  <si>
    <t>Désintégration</t>
  </si>
  <si>
    <t>L'augmentation de pression favorise le côté avec le moins de moles gazeuses. A gauche : 3 moles, à droite : 2 moles.</t>
  </si>
  <si>
    <t>SUPREPA-ENSAM-004</t>
  </si>
  <si>
    <t>La fonction f(x) = -x³ + 3x admet un minimum local en :</t>
  </si>
  <si>
    <t>x = -1</t>
  </si>
  <si>
    <t>x = 1</t>
  </si>
  <si>
    <t>x = 0</t>
  </si>
  <si>
    <t>x = -2</t>
  </si>
  <si>
    <t>f'(x) = -3x² + 3 = 3(1-x²). f'(x)=0 =&gt; x = ±1. f''(x) = -6x. En x=1, c'est un maximum. En x=-1, c'est un minimum.</t>
  </si>
  <si>
    <t>SUPREPA-ENSAM-005</t>
  </si>
  <si>
    <t>Un condensateur de 10 µF est chargé sous une tension de 50 V. L'énergie stockée est :</t>
  </si>
  <si>
    <t>0.0125 J</t>
  </si>
  <si>
    <t>0.025 J</t>
  </si>
  <si>
    <t>0.05 J</t>
  </si>
  <si>
    <t>1.25 J</t>
  </si>
  <si>
    <t>E = 0.5 * C * U² = 0.5 * 10*10⁻⁶ * 50² = 0.0125 J.</t>
  </si>
  <si>
    <t>SUPREPA-ENSAM-006</t>
  </si>
  <si>
    <t>Le fructose est un :</t>
  </si>
  <si>
    <t>Aldéhyde</t>
  </si>
  <si>
    <t>Cétose</t>
  </si>
  <si>
    <t>Acide</t>
  </si>
  <si>
    <t>Alcool</t>
  </si>
  <si>
    <t>Le fructose est un ose contenant un groupe cétone. C'est un cétose.</t>
  </si>
  <si>
    <t>SUPREPA-ENSAM-007</t>
  </si>
  <si>
    <t>La fonction réciproque de f(x) = ln(x) est :</t>
  </si>
  <si>
    <t>e^x</t>
  </si>
  <si>
    <t>x/2</t>
  </si>
  <si>
    <t>2^x</t>
  </si>
  <si>
    <t>√x</t>
  </si>
  <si>
    <t>La fonction réciproque du logarithme népérien est l'exponentielle.</t>
  </si>
  <si>
    <t>SUPREPA-ENSAM-008</t>
  </si>
  <si>
    <t>Un objet de 10 kg se déplace à 6 m/s. Son énergie cinétique est :</t>
  </si>
  <si>
    <t>180 J</t>
  </si>
  <si>
    <t>360 J</t>
  </si>
  <si>
    <t>30 J</t>
  </si>
  <si>
    <t>60 J</t>
  </si>
  <si>
    <t>Ec = 0.5 * m * v² = 0.5 * 10 * 36 = 180 J.</t>
  </si>
  <si>
    <t>SUPREPA-ENSAM-009</t>
  </si>
  <si>
    <t>Lequel de ces composés est un acide carboxylique ?</t>
  </si>
  <si>
    <t>CH₃COCH₃</t>
  </si>
  <si>
    <t>CH₃COOH</t>
  </si>
  <si>
    <t>CH₃OCH₃</t>
  </si>
  <si>
    <t>Un acide carboxylique a la fonction -COOH. CH₃COOH est l'acide acétique.</t>
  </si>
  <si>
    <t>SUPREPA-ENSAM-010</t>
  </si>
  <si>
    <t>Le déterminant de la matrice [[1, 4], [3, 2]] est :</t>
  </si>
  <si>
    <t>det = 1*2 - 4*3 = 2 - 12 = -10.</t>
  </si>
  <si>
    <t>SUPREPA-ENSAM-011</t>
  </si>
  <si>
    <t>Un opérateur pousse un objet sur 8 m en exerçant une force de 15 N. L'angle entre la force et le déplacement est de 30° (cos30°=0.866). Le travail est :</t>
  </si>
  <si>
    <t>120 J</t>
  </si>
  <si>
    <t>103.9 J</t>
  </si>
  <si>
    <t>40 J</t>
  </si>
  <si>
    <t>W = F*d*cos(30) = 15*8*0.866 = 103.9 J.</t>
  </si>
  <si>
    <t>SUPREPA-ENSAM-012</t>
  </si>
  <si>
    <t>La réaction d'estérification est la réaction d'un acide avec :</t>
  </si>
  <si>
    <t>Une base</t>
  </si>
  <si>
    <t>Un alcool</t>
  </si>
  <si>
    <t>Un ester</t>
  </si>
  <si>
    <t>Un sel</t>
  </si>
  <si>
    <t>L'estérification est la réaction entre un acide carboxylique et un alcool formant un ester.</t>
  </si>
  <si>
    <t>SUPREPA-ENSAM-013</t>
  </si>
  <si>
    <t>La primitive de la fonction f(x) = 1/x² est :</t>
  </si>
  <si>
    <t>-1/x + C</t>
  </si>
  <si>
    <t>ln</t>
  </si>
  <si>
    <t>x</t>
  </si>
  <si>
    <t>+ C</t>
  </si>
  <si>
    <t>x + C</t>
  </si>
  <si>
    <t>1/x + C</t>
  </si>
  <si>
    <t>La dérivée de -1/x + C est 1/x².</t>
  </si>
  <si>
    <t>SUPREPA-ENSAM-014</t>
  </si>
  <si>
    <t>Si une onde a une vitesse de 340 m/s et une fréquence de 1700 Hz, sa longueur d'onde est :</t>
  </si>
  <si>
    <t>0.1 m</t>
  </si>
  <si>
    <t>0.2 m</t>
  </si>
  <si>
    <t>1 m</t>
  </si>
  <si>
    <t>2 m</t>
  </si>
  <si>
    <t>λ = v/f = 340/1700 = 0.2 m.</t>
  </si>
  <si>
    <t>SUPREPA-ENSAM-015</t>
  </si>
  <si>
    <t>Le nombre d'oxydation du chlore dans HClO₄ est :</t>
  </si>
  <si>
    <t>(1) + x + (-2*4) = 0 =&gt; 1 + x - 8 = 0 =&gt; x = +7.</t>
  </si>
  <si>
    <t>SUPREPA-ENSAM-016</t>
  </si>
  <si>
    <t>Si f(x) = 3x², le taux d'accroissement entre x=1 et x=3 est :</t>
  </si>
  <si>
    <t>(f(3)-f(1))/(3-1) = (27-3)/2 = 12.</t>
  </si>
  <si>
    <t>SUPREPA-ENSAM-017</t>
  </si>
  <si>
    <t>La charge d'un proton est :</t>
  </si>
  <si>
    <t>1.6 10⁻¹⁹ C</t>
  </si>
  <si>
    <t>-1.6 10⁻¹⁹ C</t>
  </si>
  <si>
    <t>9.1 10⁻³¹ C</t>
  </si>
  <si>
    <t>-9.1 10⁻³¹ C</t>
  </si>
  <si>
    <t>La charge du proton est +1.6 * 10⁻¹⁹ C.</t>
  </si>
  <si>
    <t>SUPREPA-ENSAM-018</t>
  </si>
  <si>
    <t>Quelle est la réaction de l'oxydation d'un alcool primaire ?</t>
  </si>
  <si>
    <t>Acide carboxylique</t>
  </si>
  <si>
    <t>Cétone</t>
  </si>
  <si>
    <t>Ester</t>
  </si>
  <si>
    <t>L'oxydation d'un alcool primaire donne un aldéhyde, puis un acide carboxylique.</t>
  </si>
  <si>
    <t>SUPREPA-ENSAM-019</t>
  </si>
  <si>
    <t>La valeur de la somme des angles d'un pentagone est :</t>
  </si>
  <si>
    <t>3π</t>
  </si>
  <si>
    <t>5π</t>
  </si>
  <si>
    <t>La somme des angles d'un polygone à n côtés est (n-2)π. Pour un pentagone : (5-2)π = 3π.</t>
  </si>
  <si>
    <t>SUPREPA-ENSAM-020</t>
  </si>
  <si>
    <t>Une résistance de 15 Ω est parcourue par un courant de 2 A. La tension à ses bornes est :</t>
  </si>
  <si>
    <t>30 V</t>
  </si>
  <si>
    <t>15 V</t>
  </si>
  <si>
    <t>7.5 V</t>
  </si>
  <si>
    <t>45 V</t>
  </si>
  <si>
    <t>U = R * I = 15 * 2 = 30 V.</t>
  </si>
  <si>
    <t>SUPREPA-ENSAM-021</t>
  </si>
  <si>
    <t>Résoudre l'équation 2x² + 3x - 2 = 0.</t>
  </si>
  <si>
    <t>x=0.5, x=-2</t>
  </si>
  <si>
    <t>x=-0.5, x=2</t>
  </si>
  <si>
    <t>x=1, x=-2</t>
  </si>
  <si>
    <t>x=-1, x=2</t>
  </si>
  <si>
    <t>Discriminant = 9 + 16 = 25. x = (-3 ± 5)/4 =&gt; x = 0.5 ou x = -2.</t>
  </si>
  <si>
    <t>SUPREPA-ENSAM-022</t>
  </si>
  <si>
    <t>Une onde a une amplitude de 3 cm et une fréquence de 25 Hz. Sa vitesse angulaire est :</t>
  </si>
  <si>
    <t>50π rad/s</t>
  </si>
  <si>
    <t>157 rad/s</t>
  </si>
  <si>
    <t>12.5 rad/s</t>
  </si>
  <si>
    <t>ω = 2πf = 2π * 25 = 50π ≈ 157 rad/s.</t>
  </si>
  <si>
    <t>SUPREPA-ENSAM-023</t>
  </si>
  <si>
    <t>La réaction de combustion du butane est :</t>
  </si>
  <si>
    <t>SUPREPA-ENSAM-024</t>
  </si>
  <si>
    <t>Le logarithme népérien de e⁻² est :</t>
  </si>
  <si>
    <t>ln(e⁻²) = -2.</t>
  </si>
  <si>
    <t>SUPREPA-ENSAM-025</t>
  </si>
  <si>
    <t>Un objet est soumis à une force résultante constante non nulle. Son mouvement est :</t>
  </si>
  <si>
    <t>Uniformément accéléré</t>
  </si>
  <si>
    <t>Uniformément décéléré</t>
  </si>
  <si>
    <t>D'après la deuxième loi de Newton, une force constante produit une accélération constante.</t>
  </si>
  <si>
    <t>SUPREPA-ENSAM-026</t>
  </si>
  <si>
    <t>Lequel de ces composés est un alcool tertiaire ?</t>
  </si>
  <si>
    <t>(CH₃)₃COH</t>
  </si>
  <si>
    <t>Un alcool tertiaire a le groupe OH sur un carbone lié à trois autres carbones.</t>
  </si>
  <si>
    <t>SUPREPA-ENSAM-027</t>
  </si>
  <si>
    <t>La dérivée de f(x) = cotan(x) est :</t>
  </si>
  <si>
    <t>-csc²(x)</t>
  </si>
  <si>
    <t>csc²(x)</t>
  </si>
  <si>
    <t>La dérivée de cotan(x) est -csc²(x).</t>
  </si>
  <si>
    <t>SUPREPA-ENSAM-028</t>
  </si>
  <si>
    <t>Un objet de 3 kg est lancé verticalement avec une vitesse de 12 m/s. Quelle est son énergie cinétique initiale ?</t>
  </si>
  <si>
    <t>216 J</t>
  </si>
  <si>
    <t>432 J</t>
  </si>
  <si>
    <t>144 J</t>
  </si>
  <si>
    <t>72 J</t>
  </si>
  <si>
    <t>Ec = 0.5 * 3 * 144 = 216 J.</t>
  </si>
  <si>
    <t>SUPREPA-ENSAM-029</t>
  </si>
  <si>
    <t>La formule de l'ion carbonate est :</t>
  </si>
  <si>
    <t>CO₃²⁻</t>
  </si>
  <si>
    <t>CO₂</t>
  </si>
  <si>
    <t>HCO₃⁻</t>
  </si>
  <si>
    <t>C₂O₄²⁻</t>
  </si>
  <si>
    <t>L'ion carbonate a pour formule CO₃²⁻.</t>
  </si>
  <si>
    <t>SUPREPA-ENSAM-030</t>
  </si>
  <si>
    <t>La limite de (1 - cos x)/x² quand x tend vers 0 est :</t>
  </si>
  <si>
    <t>lim x→0 (1 - cos x)/x² = 0.5.</t>
  </si>
  <si>
    <t>SUPREPA-ENSAM-031</t>
  </si>
  <si>
    <t>Le travail d'une force de 20 N pour un déplacement de 3 m est :</t>
  </si>
  <si>
    <t>6 J</t>
  </si>
  <si>
    <t>600 J</t>
  </si>
  <si>
    <t>0.15 J</t>
  </si>
  <si>
    <r>
      <t>W = F</t>
    </r>
    <r>
      <rPr>
        <i/>
        <sz val="8"/>
        <color rgb="FF0F1115"/>
        <rFont val="Segoe UI"/>
        <family val="2"/>
      </rPr>
      <t>d = 20</t>
    </r>
    <r>
      <rPr>
        <sz val="8"/>
        <color rgb="FF0F1115"/>
        <rFont val="Segoe UI"/>
        <family val="2"/>
      </rPr>
      <t>3 = 60 J (si force parallèle au déplacement).</t>
    </r>
  </si>
  <si>
    <t>SUPREPA-ENSAM-032</t>
  </si>
  <si>
    <t>Un atome d'azote a 7 électrons. Sa configuration électronique est :</t>
  </si>
  <si>
    <t>1s²2s²2p⁵</t>
  </si>
  <si>
    <t>L'azote (Z=7) a pour configuration électronique 1s²2s²2p³.</t>
  </si>
  <si>
    <t>SUPREPA-ENSAM-033</t>
  </si>
  <si>
    <t>La valeur de la somme des angles d'un hexagone est :</t>
  </si>
  <si>
    <t>La somme des angles d'un polygone à n côtés est (n-2)π. Pour un hexagone : (6-2)π = 4π.</t>
  </si>
  <si>
    <t>SUPREPA-ENSAM-034</t>
  </si>
  <si>
    <t>Une résistance de 25 Ω est parcourue par un courant de 5 A. La puissance dissipée est :</t>
  </si>
  <si>
    <t>625 W</t>
  </si>
  <si>
    <t>125 W</t>
  </si>
  <si>
    <t>250 W</t>
  </si>
  <si>
    <t>500 W</t>
  </si>
  <si>
    <t>P = R * I² = 25 * 25 = 625 W.</t>
  </si>
  <si>
    <t>SUPREPA-ENSAM-035</t>
  </si>
  <si>
    <t>Lequel de ces éléments est un gaz rare ?</t>
  </si>
  <si>
    <t>Hélium</t>
  </si>
  <si>
    <t>L'hélium (He) est un gaz rare (groupe 18).</t>
  </si>
  <si>
    <t>SUPREPA-ENSAM-036</t>
  </si>
  <si>
    <t>Résoudre l'équation log₅(x) = 4.</t>
  </si>
  <si>
    <t>log₅(x) = 4 =&gt; x = 5⁴ = 625.</t>
  </si>
  <si>
    <t>SUPREPA-ENSAM-037</t>
  </si>
  <si>
    <t>Un objet de 8 kg est soumis à une force de 40 N. Son accélération est :</t>
  </si>
  <si>
    <t>5 m/s²</t>
  </si>
  <si>
    <t>8 m/s²</t>
  </si>
  <si>
    <t>0.2 m/s²</t>
  </si>
  <si>
    <t>a = F/m = 40/8 = 5 m/s².</t>
  </si>
  <si>
    <t>SUPREPA-ENSAM-038</t>
  </si>
  <si>
    <t>La réaction entre un acide et un métal forme :</t>
  </si>
  <si>
    <t>Un sel et du dihydrogène</t>
  </si>
  <si>
    <t>Un sel et du dioxygène</t>
  </si>
  <si>
    <t>La réaction entre un acide et un métal actif produit un sel et du dihydrogène.</t>
  </si>
  <si>
    <t>SUPREPA-ENSAM-039</t>
  </si>
  <si>
    <t>La primitive de f(x) = x² est :</t>
  </si>
  <si>
    <t>x³/3 + C</t>
  </si>
  <si>
    <t>x³ + C</t>
  </si>
  <si>
    <t>x² + C</t>
  </si>
  <si>
    <t>La primitive de x² est x³/3 + C.</t>
  </si>
  <si>
    <t>SUPREPA-ENSAM-040</t>
  </si>
  <si>
    <t>La période d'un pendule simple de 2 m est (g=10 m/s²) :</t>
  </si>
  <si>
    <t>2.81 s</t>
  </si>
  <si>
    <t>1.41 s</t>
  </si>
  <si>
    <t>T = 2π√(2/10) = 2π * 0.447 = 2.81 s.</t>
  </si>
  <si>
    <t>ISPITS</t>
  </si>
  <si>
    <t>Français</t>
  </si>
  <si>
    <t>SUPREPA-ISPITS-001</t>
  </si>
  <si>
    <r>
      <t>Le mot "</t>
    </r>
    <r>
      <rPr>
        <sz val="8"/>
        <color rgb="FF0F1115"/>
        <rFont val="Segoe UI"/>
        <family val="2"/>
      </rPr>
      <t>nosocomial</t>
    </r>
    <r>
      <rPr>
        <sz val="8"/>
        <color rgb="FF0F1115"/>
        <rFont val="Segoe UI"/>
        <family val="2"/>
      </rPr>
      <t>" signifie :</t>
    </r>
  </si>
  <si>
    <t>Relatif à l'hôpital</t>
  </si>
  <si>
    <t>Qui provoque une maladie</t>
  </si>
  <si>
    <t>Qui guérit une maladie</t>
  </si>
  <si>
    <t>Relatif au patient</t>
  </si>
  <si>
    <t>Nosocomial se dit d'une infection contractée à l'hôpital.</t>
  </si>
  <si>
    <t>SVT</t>
  </si>
  <si>
    <t>SUPREPA-ISPITS-002</t>
  </si>
  <si>
    <t>Quel est le rôle principal des lymphocytes T helper (CD4+) ?</t>
  </si>
  <si>
    <t>Produire des anticorps</t>
  </si>
  <si>
    <t>Détruire les cellules infectées</t>
  </si>
  <si>
    <t>Activer les autres cellules immunitaires</t>
  </si>
  <si>
    <t>Phagocyter les antigènes</t>
  </si>
  <si>
    <t>Les LT4 (CD4+) sécrètent des cytokines qui activent les autres cellules immunitaires.</t>
  </si>
  <si>
    <t>SUPREPA-ISPITS-003</t>
  </si>
  <si>
    <t>L'effet Compton met en évidence la nature :</t>
  </si>
  <si>
    <t>Ondulatoire de la lumière</t>
  </si>
  <si>
    <t>Corpusculaire de la lumière</t>
  </si>
  <si>
    <t>Thermique de la lumière</t>
  </si>
  <si>
    <t>Electromagnétique de la lumière</t>
  </si>
  <si>
    <t>L'effet Compton est la diffusion d'un photon sur un électron, interprétée comme un choc entre deux particules.</t>
  </si>
  <si>
    <t>SUPREPA-ISPITS-004</t>
  </si>
  <si>
    <t>Le pH d'une solution basique à 25°C est :</t>
  </si>
  <si>
    <t>&gt; 7</t>
  </si>
  <si>
    <t>&lt; 7</t>
  </si>
  <si>
    <t>Une solution basique a un pH supérieur à 7.</t>
  </si>
  <si>
    <t>SUPREPA-ISPITS-005</t>
  </si>
  <si>
    <r>
      <t>"Un </t>
    </r>
    <r>
      <rPr>
        <sz val="8"/>
        <color rgb="FF0F1115"/>
        <rFont val="Segoe UI"/>
        <family val="2"/>
      </rPr>
      <t>pronostic</t>
    </r>
    <r>
      <rPr>
        <sz val="8"/>
        <color rgb="FF0F1115"/>
        <rFont val="Segoe UI"/>
        <family val="2"/>
      </rPr>
      <t> favorable a été établi." Que signifie le mot en gras ?</t>
    </r>
  </si>
  <si>
    <t>Identification de la maladie</t>
  </si>
  <si>
    <t>Évolution probable d'une maladie</t>
  </si>
  <si>
    <t>Traitement à suivre</t>
  </si>
  <si>
    <t>Symptômes</t>
  </si>
  <si>
    <t>Le pronostic est l'évaluation médicale de l'évolution probable d'une maladie.</t>
  </si>
  <si>
    <t>SUPREPA-ISPITS-006</t>
  </si>
  <si>
    <t>Les hormones protéiques agissent en :</t>
  </si>
  <si>
    <t>Se liant à des récepteurs membranaires</t>
  </si>
  <si>
    <t>Pénétrant dans la cellule</t>
  </si>
  <si>
    <t>Activant des protéines G</t>
  </si>
  <si>
    <t>Modifiant l'ADN</t>
  </si>
  <si>
    <t>Les hormones protéiques sont hydrophiles et se lient à des récepteurs à la surface de la cellule.</t>
  </si>
  <si>
    <t>SUPREPA-ISPITS-007</t>
  </si>
  <si>
    <t>La fréquence d'un signal est de 50 Hz. Sa période est :</t>
  </si>
  <si>
    <t>20 ms</t>
  </si>
  <si>
    <t>2 ms</t>
  </si>
  <si>
    <t>0.2 s</t>
  </si>
  <si>
    <t>T = 1/f = 1/50 = 0.02 s = 20 ms.</t>
  </si>
  <si>
    <t>SUPREPA-ISPITS-008</t>
  </si>
  <si>
    <t>Quelle est la formule de l'éthanol ?</t>
  </si>
  <si>
    <t>C₂H₅OH</t>
  </si>
  <si>
    <t>C₃H₇OH</t>
  </si>
  <si>
    <t>CH₄</t>
  </si>
  <si>
    <t>L'éthanol (alcool éthylique) a pour formule C₂H₅OH.</t>
  </si>
  <si>
    <t>SUPREPA-ISPITS-009</t>
  </si>
  <si>
    <r>
      <t>"Le patient a </t>
    </r>
    <r>
      <rPr>
        <sz val="8"/>
        <color rgb="FF0F1115"/>
        <rFont val="Segoe UI"/>
        <family val="2"/>
      </rPr>
      <t>récupéré</t>
    </r>
    <r>
      <rPr>
        <sz val="8"/>
        <color rgb="FF0F1115"/>
        <rFont val="Segoe UI"/>
        <family val="2"/>
      </rPr>
      <t> rapidement." Le synonyme du mot en gras est :</t>
    </r>
  </si>
  <si>
    <t>Rechuté</t>
  </si>
  <si>
    <t>Guéri</t>
  </si>
  <si>
    <t>S'est aggravé</t>
  </si>
  <si>
    <t>A été hospitalisé</t>
  </si>
  <si>
    <t>Récupérer signifie ici se rétablir, guérir.</t>
  </si>
  <si>
    <t>SUPREPA-ISPITS-010</t>
  </si>
  <si>
    <t>La photosynthèse a lieu principalement dans :</t>
  </si>
  <si>
    <t>Les mitochondries</t>
  </si>
  <si>
    <t>Les chloroplastes</t>
  </si>
  <si>
    <t>Le noyau</t>
  </si>
  <si>
    <t>Les ribosomes</t>
  </si>
  <si>
    <t>Les chloroplastes sont le site de la photosynthèse chez les plantes.</t>
  </si>
  <si>
    <t>SUPREPA-ISPITS-011</t>
  </si>
  <si>
    <t>L'unité SI de la fréquence est :</t>
  </si>
  <si>
    <t>Le Hertz</t>
  </si>
  <si>
    <t>Le Joule</t>
  </si>
  <si>
    <t>Le Watt</t>
  </si>
  <si>
    <t>Le Volt</t>
  </si>
  <si>
    <t>Le Hertz (Hz) est l'unité de fréquence.</t>
  </si>
  <si>
    <t>SUPREPA-ISPITS-012</t>
  </si>
  <si>
    <t>La liaison chimique qui implique le transfert d'électrons est :</t>
  </si>
  <si>
    <t>Ionique</t>
  </si>
  <si>
    <t>Covalente</t>
  </si>
  <si>
    <t>Métallique</t>
  </si>
  <si>
    <t>Hydrogène</t>
  </si>
  <si>
    <t>Une liaison ionique est formée par transfert d'électrons entre un métal et un non-métal.</t>
  </si>
  <si>
    <t>SUPREPA-ISPITS-013</t>
  </si>
  <si>
    <t>Quelle est la bonne orthographe ?</t>
  </si>
  <si>
    <t>L'hôpital</t>
  </si>
  <si>
    <t>L'hopital</t>
  </si>
  <si>
    <t>L'ospistal</t>
  </si>
  <si>
    <t>L'hospitale</t>
  </si>
  <si>
    <t>L'orthographe correcte est "l'hôpital".</t>
  </si>
  <si>
    <t>SUPREPA-ISPITS-014</t>
  </si>
  <si>
    <t>Lequel de ces organes produit des hormones ?</t>
  </si>
  <si>
    <t>Le foie</t>
  </si>
  <si>
    <t>La rate</t>
  </si>
  <si>
    <t>Le pancréas</t>
  </si>
  <si>
    <t>Les poumons</t>
  </si>
  <si>
    <t>Le pancréas produit l'insuline et le glucagon.</t>
  </si>
  <si>
    <t>SUPREPA-ISPITS-015</t>
  </si>
  <si>
    <t>Une lentille divergente est utilisée pour corriger :</t>
  </si>
  <si>
    <t>La myopie</t>
  </si>
  <si>
    <t>L'hypermétropie</t>
  </si>
  <si>
    <t>L'astigmatisme</t>
  </si>
  <si>
    <t>La presbytie</t>
  </si>
  <si>
    <t>Les lentilles divergentes (verres concaves) sont utilisées pour corriger la myopie.</t>
  </si>
  <si>
    <t>SUPREPA-ISPITS-016</t>
  </si>
  <si>
    <t>L'élément qui possède le plus grand nombre d'électrons dans une couche externe est :</t>
  </si>
  <si>
    <t>Néon</t>
  </si>
  <si>
    <t>Le néon (Ne) a 8 électrons de valence, la configuration la plus stable.</t>
  </si>
  <si>
    <t>SUPREPA-ISPITS-017</t>
  </si>
  <si>
    <t>Choisissez la phrase avec une subordonnée de cause :</t>
  </si>
  <si>
    <t>Il est parti parce qu'il pleuvait.</t>
  </si>
  <si>
    <t>Il est parti pour qu'il pleuve.</t>
  </si>
  <si>
    <t>Il est parti quand il a plu.</t>
  </si>
  <si>
    <t>Il est parti s'il pleuvait.</t>
  </si>
  <si>
    <t>La subordonnée de cause répond à la question "pourquoi ?".</t>
  </si>
  <si>
    <t>SUPREPA-ISPITS-018</t>
  </si>
  <si>
    <t>La mitose permet :</t>
  </si>
  <si>
    <t>La formation de cellules sexuelles</t>
  </si>
  <si>
    <t>La croissance et la réparation des tissus</t>
  </si>
  <si>
    <t>La production de gamètes</t>
  </si>
  <si>
    <t>La diversité génétique</t>
  </si>
  <si>
    <t>La mitose permet la croissance et la réparation des tissus.</t>
  </si>
  <si>
    <t>SUPREPA-ISPITS-019</t>
  </si>
  <si>
    <t>La pression en un point d'un fluide est mesurée en :</t>
  </si>
  <si>
    <t>Pa</t>
  </si>
  <si>
    <t>N</t>
  </si>
  <si>
    <t>J</t>
  </si>
  <si>
    <t>W</t>
  </si>
  <si>
    <t>Le Pascal (Pa) est l'unité SI de la pression.</t>
  </si>
  <si>
    <t>SUPREPA-ISPITS-020</t>
  </si>
  <si>
    <t>L'élément chimique dont le symbole est 'Na' est :</t>
  </si>
  <si>
    <t>Potassium</t>
  </si>
  <si>
    <t>Magnésium</t>
  </si>
  <si>
    <r>
      <t>Le symbole chimique du sodium est Na (du latin </t>
    </r>
    <r>
      <rPr>
        <i/>
        <sz val="8"/>
        <color rgb="FF0F1115"/>
        <rFont val="Segoe UI"/>
        <family val="2"/>
      </rPr>
      <t>natrium</t>
    </r>
    <r>
      <rPr>
        <sz val="8"/>
        <color rgb="FF0F1115"/>
        <rFont val="Segoe UI"/>
        <family val="2"/>
      </rPr>
      <t>).</t>
    </r>
  </si>
  <si>
    <t>SUPREPA-ISPITS-021</t>
  </si>
  <si>
    <r>
      <t>"Le mot </t>
    </r>
    <r>
      <rPr>
        <sz val="8"/>
        <color rgb="FF0F1115"/>
        <rFont val="Segoe UI"/>
        <family val="2"/>
      </rPr>
      <t>épidémiologie</t>
    </r>
    <r>
      <rPr>
        <sz val="8"/>
        <color rgb="FF0F1115"/>
        <rFont val="Segoe UI"/>
        <family val="2"/>
      </rPr>
      <t> signifie :"</t>
    </r>
  </si>
  <si>
    <t>Étude des épidémies</t>
  </si>
  <si>
    <t>Étude des cellules</t>
  </si>
  <si>
    <t>Étude des médicaments</t>
  </si>
  <si>
    <t>Étude des organes</t>
  </si>
  <si>
    <t>L'épidémiologie est la science qui étudie les épidémies.</t>
  </si>
  <si>
    <t>SUPREPA-ISPITS-022</t>
  </si>
  <si>
    <t>Lequel de ces os n'est pas un os du crâne ?</t>
  </si>
  <si>
    <t>Frontal</t>
  </si>
  <si>
    <t>Temporal</t>
  </si>
  <si>
    <t>Fémur</t>
  </si>
  <si>
    <t>Occipital</t>
  </si>
  <si>
    <t>Le fémur est un os de la cuisse, pas du crâne.</t>
  </si>
  <si>
    <t>SUPREPA-ISPITS-023</t>
  </si>
  <si>
    <t>L'énergie d'un photon est proportionnelle à sa :</t>
  </si>
  <si>
    <t>Longueur d'onde</t>
  </si>
  <si>
    <t>Fréquence</t>
  </si>
  <si>
    <t>Vitesse</t>
  </si>
  <si>
    <t>Amplitude</t>
  </si>
  <si>
    <t>E = h * f, l'énergie est proportionnelle à la fréquence.</t>
  </si>
  <si>
    <t>SUPREPA-ISPITS-024</t>
  </si>
  <si>
    <t>La formule de l'ion nitrate est :</t>
  </si>
  <si>
    <t>NO₃⁻</t>
  </si>
  <si>
    <t>NO₂⁻</t>
  </si>
  <si>
    <t>NO₃²⁻</t>
  </si>
  <si>
    <t>NO₂²⁻</t>
  </si>
  <si>
    <t>L'ion nitrate a pour formule NO₃⁻.</t>
  </si>
  <si>
    <t>SUPREPA-ISPITS-025</t>
  </si>
  <si>
    <r>
      <t>"Il a </t>
    </r>
    <r>
      <rPr>
        <sz val="8"/>
        <color rgb="FF0F1115"/>
        <rFont val="Segoe UI"/>
        <family val="2"/>
      </rPr>
      <t>subi</t>
    </r>
    <r>
      <rPr>
        <sz val="8"/>
        <color rgb="FF0F1115"/>
        <rFont val="Segoe UI"/>
        <family val="2"/>
      </rPr>
      <t> une opération." Le synonyme du mot en gras est :</t>
    </r>
  </si>
  <si>
    <t>A évité</t>
  </si>
  <si>
    <t>A supporté</t>
  </si>
  <si>
    <t>A refusé</t>
  </si>
  <si>
    <t>A prescrit</t>
  </si>
  <si>
    <t>Subir signifie supporter, être soumis à.</t>
  </si>
  <si>
    <t>SUPREPA-ISPITS-026</t>
  </si>
  <si>
    <t>Les cellules souches sont caractérisées par :</t>
  </si>
  <si>
    <t>Leur capacité à se différencier</t>
  </si>
  <si>
    <t>Leur incapacité à se diviser</t>
  </si>
  <si>
    <t>Leur taille réduite</t>
  </si>
  <si>
    <t>Leur forme spécifique</t>
  </si>
  <si>
    <t>Les cellules souches ont la capacité de se différencier en différents types cellulaires.</t>
  </si>
  <si>
    <t>SUPREPA-ISPITS-027</t>
  </si>
  <si>
    <t>La vitesse de la lumière dans le vide est d'environ :</t>
  </si>
  <si>
    <t>3 * 10⁸ m/s</t>
  </si>
  <si>
    <t>3 * 10⁶ m/s</t>
  </si>
  <si>
    <t>3 * 10¹⁰ m/s</t>
  </si>
  <si>
    <t>3 * 10⁵ m/s</t>
  </si>
  <si>
    <t>La vitesse de la lumière dans le vide est de 3 * 10⁸ m/s.</t>
  </si>
  <si>
    <t>SUPREPA-ISPITS-028</t>
  </si>
  <si>
    <t>Lequel de ces composés est un ester ?</t>
  </si>
  <si>
    <t>CH₃COOC₂H₅</t>
  </si>
  <si>
    <t>CH₃CH₂COOH</t>
  </si>
  <si>
    <t>C₂H₅OC₂H₅</t>
  </si>
  <si>
    <t>L'ester a la fonction -COO-. CH₃COOC₂H₅ est l'acétate d'éthyle.</t>
  </si>
  <si>
    <t>SUPREPA-ISPITS-029</t>
  </si>
  <si>
    <r>
      <t>"Le </t>
    </r>
    <r>
      <rPr>
        <sz val="8"/>
        <color rgb="FF0F1115"/>
        <rFont val="Segoe UI"/>
        <family val="2"/>
      </rPr>
      <t>diagnostic</t>
    </r>
    <r>
      <rPr>
        <sz val="8"/>
        <color rgb="FF0F1115"/>
        <rFont val="Segoe UI"/>
        <family val="2"/>
      </rPr>
      <t> est le premier acte médical." Le mot en gras est :</t>
    </r>
  </si>
  <si>
    <t>"Diagnostic" est un nom commun.</t>
  </si>
  <si>
    <t>SUPREPA-ISPITS-030</t>
  </si>
  <si>
    <t>Lequel de ces éléments n'est pas un nutriment ?</t>
  </si>
  <si>
    <t>Glucose</t>
  </si>
  <si>
    <t>Acides aminés</t>
  </si>
  <si>
    <t>Acides gras</t>
  </si>
  <si>
    <t>L'oxygène est un gaz, pas un nutriment.</t>
  </si>
  <si>
    <t>SUPREPA-ISPITS-031</t>
  </si>
  <si>
    <t>Une onde électromagnétique se propage dans :</t>
  </si>
  <si>
    <t>Le vide</t>
  </si>
  <si>
    <t>L'eau</t>
  </si>
  <si>
    <t>Le verre</t>
  </si>
  <si>
    <t>Tous ces milieux</t>
  </si>
  <si>
    <t>Les ondes électromagnétiques se propagent dans le vide et dans de nombreux milieux.</t>
  </si>
  <si>
    <t>SUPREPA-ISPITS-032</t>
  </si>
  <si>
    <t>Le nombre d'oxydation du carbone dans CO₂ est :</t>
  </si>
  <si>
    <t>x + (-2*2) = 0 =&gt; x - 4 = 0 =&gt; x = +4.</t>
  </si>
  <si>
    <t>SUPREPA-ISPITS-033</t>
  </si>
  <si>
    <t>La dérivée de f(x) = e^x est :</t>
  </si>
  <si>
    <t>x e^x</t>
  </si>
  <si>
    <t>e^x + 1</t>
  </si>
  <si>
    <t>La dérivée de e^x est e^x.</t>
  </si>
  <si>
    <t>SUPREPA-ISPITS-034</t>
  </si>
  <si>
    <t>Un objet de 2 kg est soumis à une force de 10 N. Son accélération est :</t>
  </si>
  <si>
    <t>20 m/s²</t>
  </si>
  <si>
    <t>a = F/m = 10/2 = 5 m/s².</t>
  </si>
  <si>
    <t>SUPREPA-ISPITS-035</t>
  </si>
  <si>
    <t>Lequel de ces composés est un alcane ?</t>
  </si>
  <si>
    <t>C₃H₈</t>
  </si>
  <si>
    <t>C₂H₄</t>
  </si>
  <si>
    <t>C₂H₂</t>
  </si>
  <si>
    <t>C₆H₆</t>
  </si>
  <si>
    <t>C₃H₈ est un alcane (propane).</t>
  </si>
  <si>
    <t>SUPREPA-ISPITS-036</t>
  </si>
  <si>
    <r>
      <t>"Le traitement est </t>
    </r>
    <r>
      <rPr>
        <sz val="8"/>
        <color rgb="FF0F1115"/>
        <rFont val="Segoe UI"/>
        <family val="2"/>
      </rPr>
      <t>efficace</t>
    </r>
    <r>
      <rPr>
        <sz val="8"/>
        <color rgb="FF0F1115"/>
        <rFont val="Segoe UI"/>
        <family val="2"/>
      </rPr>
      <t>." L'antonyme est :</t>
    </r>
  </si>
  <si>
    <t>Inefficace</t>
  </si>
  <si>
    <t>Puissant</t>
  </si>
  <si>
    <t>Rapide</t>
  </si>
  <si>
    <t>Léger</t>
  </si>
  <si>
    <t>L'antonyme d'efficace est inefficace.</t>
  </si>
  <si>
    <t>SUPREPA-ISPITS-037</t>
  </si>
  <si>
    <t>Lequel de ces organes fait partie du système digestif ?</t>
  </si>
  <si>
    <t>L'estomac</t>
  </si>
  <si>
    <t>Le cœur</t>
  </si>
  <si>
    <t>Le cerveau</t>
  </si>
  <si>
    <t>L'estomac est un organe du système digestif.</t>
  </si>
  <si>
    <t>SUPREPA-ISPITS-038</t>
  </si>
  <si>
    <t>L'énergie potentielle d'un objet est proportionnelle à :</t>
  </si>
  <si>
    <t>Sa masse</t>
  </si>
  <si>
    <t>Sa hauteur</t>
  </si>
  <si>
    <t>Son volume</t>
  </si>
  <si>
    <t>Sa forme</t>
  </si>
  <si>
    <t>Ep = m*g*h, l'énergie potentielle est proportionnelle à la hauteur.</t>
  </si>
  <si>
    <t>SUPREPA-ISPITS-039</t>
  </si>
  <si>
    <t>La formule de l'ion ammonium est :</t>
  </si>
  <si>
    <t>NH₄⁺</t>
  </si>
  <si>
    <t>NH₃</t>
  </si>
  <si>
    <t>NH₂⁻</t>
  </si>
  <si>
    <t>N₂</t>
  </si>
  <si>
    <t>L'ion ammonium a pour formule NH₄⁺.</t>
  </si>
  <si>
    <t>SUPREPA-ISPITS-040</t>
  </si>
  <si>
    <t>La valeur de π est approximativement :</t>
  </si>
  <si>
    <t>La valeur de π est environ 3.14159.</t>
  </si>
  <si>
    <t>Médecine</t>
  </si>
  <si>
    <t>SUPREPA-MED-001</t>
  </si>
  <si>
    <t>Un patient reçoit une dose de 50 mCi d'un isotope. 1 Ci = 3.7 * 10¹⁰ Bq. Calculez l'activité en Bq.</t>
  </si>
  <si>
    <t>1.85 * 10⁹ Bq</t>
  </si>
  <si>
    <t>1.85 * 10⁶ Bq</t>
  </si>
  <si>
    <t>1.85 * 10¹² Bq</t>
  </si>
  <si>
    <t>50 Bq</t>
  </si>
  <si>
    <t>Activité = 50 * 10⁻³ * 3.7 * 10¹⁰ = 1.85 * 10⁹ Bq.</t>
  </si>
  <si>
    <t>SUPREPA-MED-002</t>
  </si>
  <si>
    <t>Un médicament a un pH de 3.5. Parmi les suivants, quel est son caractère ?</t>
  </si>
  <si>
    <t>Neutre</t>
  </si>
  <si>
    <t>Basique</t>
  </si>
  <si>
    <t>Alcalin</t>
  </si>
  <si>
    <t>Un pH inférieur à 7 est acide.</t>
  </si>
  <si>
    <t>SUPREPA-MED-003</t>
  </si>
  <si>
    <t>La dérivée de la fonction f(x) = sin(x) * cos(x) est :</t>
  </si>
  <si>
    <t>cos²(x) - sin²(x)</t>
  </si>
  <si>
    <t>sin²(x) - cos²(x)</t>
  </si>
  <si>
    <t>cos(x) * sin(x)</t>
  </si>
  <si>
    <t>f'(x) = cos²(x) - sin²(x) = cos(2x).</t>
  </si>
  <si>
    <t>SUPREPA-MED-004</t>
  </si>
  <si>
    <t>La formation de l'urine se produit dans :</t>
  </si>
  <si>
    <t>Les reins</t>
  </si>
  <si>
    <t>Les reins filtrent le sang et produisent l'urine.</t>
  </si>
  <si>
    <t>SUPREPA-MED-005</t>
  </si>
  <si>
    <t>Une source sonore émet une onde de fréquence 500 Hz. Si la vitesse du son est de 1500 m/s dans l'eau, la longueur d'onde dans l'eau est :</t>
  </si>
  <si>
    <t>0.33 m</t>
  </si>
  <si>
    <t>3 m</t>
  </si>
  <si>
    <t>30 m</t>
  </si>
  <si>
    <t>0.5 m</t>
  </si>
  <si>
    <t>λ = v/f = 1500/500 = 3 m.</t>
  </si>
  <si>
    <t>SUPREPA-MED-006</t>
  </si>
  <si>
    <t>Un composé organique a pour formule brute C₄H₈O₂ et réagit avec le sodium en libérant du CO₂. Ce composé peut être :</t>
  </si>
  <si>
    <t>Un acide carboxylique</t>
  </si>
  <si>
    <t>Un aldéhyde</t>
  </si>
  <si>
    <t>Une cétone</t>
  </si>
  <si>
    <t>Les acides carboxyliques réagissent avec le sodium pour libérer du CO₂.</t>
  </si>
  <si>
    <t>SUPREPA-MED-007</t>
  </si>
  <si>
    <t>La dérivée de f(x) = ln(2x+1) est :</t>
  </si>
  <si>
    <t>2/(2x+1)</t>
  </si>
  <si>
    <t>1/(2x+1)</t>
  </si>
  <si>
    <t>2x/(2x+1)</t>
  </si>
  <si>
    <t>1/2x</t>
  </si>
  <si>
    <t>f'(x) = (1/(2x+1)) * 2 = 2/(2x+1).</t>
  </si>
  <si>
    <t>SUPREPA-MED-008</t>
  </si>
  <si>
    <t>Lequel de ces ions est le plus présent dans le liquide intracellulaire ?</t>
  </si>
  <si>
    <t>Sodium (Na+)</t>
  </si>
  <si>
    <t>Potassium (K+)</t>
  </si>
  <si>
    <t>Calcium (Ca2+)</t>
  </si>
  <si>
    <t>Chlore (Cl-)</t>
  </si>
  <si>
    <t>Le potassium est le principal cation intracellulaire.</t>
  </si>
  <si>
    <t>SUPREPA-MED-009</t>
  </si>
  <si>
    <t>Un patient est exposé à une source de rayonnement de 50 μSv/h pendant 4 heures. La dose totale reçue est :</t>
  </si>
  <si>
    <t>200 μSv</t>
  </si>
  <si>
    <t>200 mSv</t>
  </si>
  <si>
    <t>12.5 μSv</t>
  </si>
  <si>
    <t>5 μSv</t>
  </si>
  <si>
    <t>Dose totale = 50 * 4 = 200 μSv.</t>
  </si>
  <si>
    <t>SUPREPA-MED-010</t>
  </si>
  <si>
    <t>La structure du glucose est un sucre :</t>
  </si>
  <si>
    <t>Réducteur</t>
  </si>
  <si>
    <t>Non réducteur</t>
  </si>
  <si>
    <t>Base</t>
  </si>
  <si>
    <t>Le glucose est un sucre réducteur (il possède un groupe carbonyle libre).</t>
  </si>
  <si>
    <t>SUPREPA-MED-011</t>
  </si>
  <si>
    <t>La valeur de l'intégrale de 0 à π de sin(x) dx est :</t>
  </si>
  <si>
    <t>∫₀ᴨ sin(x) dx = [-cos(x)]₀ᴨ = 1 + 1 = 2.</t>
  </si>
  <si>
    <t>SUPREPA-MED-012</t>
  </si>
  <si>
    <t>L'hormone antidiurétique (ADH) est produite par :</t>
  </si>
  <si>
    <t>L'hypothalamus</t>
  </si>
  <si>
    <t>L'hypophyse</t>
  </si>
  <si>
    <t>Les surrénales</t>
  </si>
  <si>
    <t>L'ADH est synthétisée par l'hypothalamus et stockée dans l'hypophyse.</t>
  </si>
  <si>
    <t>SUPREPA-MED-013</t>
  </si>
  <si>
    <t>Une onde ultrasonore a une fréquence de 2 MHz. Sa période est :</t>
  </si>
  <si>
    <t>0.5 µs</t>
  </si>
  <si>
    <t>2 µs</t>
  </si>
  <si>
    <t>5 µs</t>
  </si>
  <si>
    <t>1 µs</t>
  </si>
  <si>
    <t>T = 1/f = 1/(2 * 10⁶) = 0.5 µs.</t>
  </si>
  <si>
    <t>SUPREPA-MED-014</t>
  </si>
  <si>
    <t>Un composé organique a pour formule brute C₃H₆O. Il peut s'agir d'un :</t>
  </si>
  <si>
    <t>Un aldéhyde a pour formule générale R-CHO. C₃H₆O correspond au propanal.</t>
  </si>
  <si>
    <t>SUPREPA-MED-015</t>
  </si>
  <si>
    <t>La limite de (e^x - 1)/x quand x tend vers 0 est :</t>
  </si>
  <si>
    <t>e</t>
  </si>
  <si>
    <t>C'est une limite fondamentale : lim x→0 (e^x - 1)/x = 1.</t>
  </si>
  <si>
    <t>SUPREPA-MED-016</t>
  </si>
  <si>
    <t>Le système nerveux autonome est divisé en :</t>
  </si>
  <si>
    <t>Sympathique et parasympathique</t>
  </si>
  <si>
    <t>Central et périphérique</t>
  </si>
  <si>
    <t>Sensoriel et moteur</t>
  </si>
  <si>
    <t>Somatique et autonome</t>
  </si>
  <si>
    <t>Le système nerveux autonome est divisé en sympathique et parasympathique.</t>
  </si>
  <si>
    <t>SUPREPA-MED-017</t>
  </si>
  <si>
    <t>L'unité SI de la dose absorbée est :</t>
  </si>
  <si>
    <t>Gray (Gy)</t>
  </si>
  <si>
    <t>Sievert (Sv)</t>
  </si>
  <si>
    <t>Joule (J)</t>
  </si>
  <si>
    <t>Pascal (Pa)</t>
  </si>
  <si>
    <t>Le Gray est l'unité SI de la dose absorbée.</t>
  </si>
  <si>
    <t>SUPREPA-MED-018</t>
  </si>
  <si>
    <t>L'élément chimique dont le symbole est 'Fe' est :</t>
  </si>
  <si>
    <t>Fer</t>
  </si>
  <si>
    <t>Phosphore</t>
  </si>
  <si>
    <r>
      <t>Le symbole chimique du fer est Fe (du latin </t>
    </r>
    <r>
      <rPr>
        <i/>
        <sz val="8"/>
        <color rgb="FF0F1115"/>
        <rFont val="Segoe UI"/>
        <family val="2"/>
      </rPr>
      <t>ferrum</t>
    </r>
    <r>
      <rPr>
        <sz val="8"/>
        <color rgb="FF0F1115"/>
        <rFont val="Segoe UI"/>
        <family val="2"/>
      </rPr>
      <t>).</t>
    </r>
  </si>
  <si>
    <t>SUPREPA-MED-019</t>
  </si>
  <si>
    <t>La dérivée de f(x) = √x est :</t>
  </si>
  <si>
    <t>1/(2√x)</t>
  </si>
  <si>
    <t>2√x</t>
  </si>
  <si>
    <t>1/√x</t>
  </si>
  <si>
    <t>1/x</t>
  </si>
  <si>
    <t>f'(x) = 1/(2√x).</t>
  </si>
  <si>
    <t>SUPREPA-MED-020</t>
  </si>
  <si>
    <t>Lequel de ces organes est impliqué dans la régulation de la température corporelle ?</t>
  </si>
  <si>
    <t>La peau</t>
  </si>
  <si>
    <t>La peau est impliquée dans la thermorégulation.</t>
  </si>
  <si>
    <t>SUPREPA-MED-021</t>
  </si>
  <si>
    <t>L'énergie d'un photon de fréquence 5 * 10¹⁴ Hz est (h=6.63*10⁻³⁴ J.s) :</t>
  </si>
  <si>
    <t>3.315 * 10⁻¹⁹ J</t>
  </si>
  <si>
    <t>3.315 * 10⁻¹⁶ J</t>
  </si>
  <si>
    <t>6.63 * 10⁻¹⁹ J</t>
  </si>
  <si>
    <t>5 * 10⁻¹⁴ J</t>
  </si>
  <si>
    <t>E = h * f = 6.63 * 10⁻³⁴ * 5 * 10¹⁴ = 3.315 * 10⁻¹⁹ J.</t>
  </si>
  <si>
    <t>SUPREPA-MED-022</t>
  </si>
  <si>
    <t>Un composé organique a pour formule brute C₄H₈O₂. Il peut s'agir d'un :</t>
  </si>
  <si>
    <t>C₄H₈O₂ correspond à un ester (butanoate de méthyle, par exemple).</t>
  </si>
  <si>
    <t>SUPREPA-MED-023</t>
  </si>
  <si>
    <t>La valeur de l'intégrale de 0 à 1 de x dx est :</t>
  </si>
  <si>
    <t>∫₀¹ x dx = [x²/2]₀¹ = 0.5.</t>
  </si>
  <si>
    <t>SUPREPA-MED-024</t>
  </si>
  <si>
    <t>Lequel de ces organes produit la bile ?</t>
  </si>
  <si>
    <t>La vésicule biliaire</t>
  </si>
  <si>
    <t>La bile est produite par le foie et stockée dans la vésicule biliaire.</t>
  </si>
  <si>
    <t>SUPREPA-MED-025</t>
  </si>
  <si>
    <t>Une onde électromagnétique a une longueur d'onde de 500 nm. Sa fréquence est (c=3*10⁸ m/s) :</t>
  </si>
  <si>
    <t>6 * 10¹⁴ Hz</t>
  </si>
  <si>
    <t>6 * 10⁵ Hz</t>
  </si>
  <si>
    <t>5 * 10¹⁴ Hz</t>
  </si>
  <si>
    <t>5 * 10⁵ Hz</t>
  </si>
  <si>
    <t>f = c/λ = (3 * 10⁸)/(500 * 10⁻⁹) = 6 * 10¹⁴ Hz.</t>
  </si>
  <si>
    <t>SUPREPA-MED-026</t>
  </si>
  <si>
    <t>Un acide aminé est caractérisé par :</t>
  </si>
  <si>
    <t>Un groupe amine et un groupe carboxyle</t>
  </si>
  <si>
    <t>Un groupe hydroxyle et un groupe carbonyle</t>
  </si>
  <si>
    <t>Un groupe amine et un groupe hydroxyle</t>
  </si>
  <si>
    <t>Un groupe carboxyle et un groupe carbonyle</t>
  </si>
  <si>
    <t>Un acide aminé possède un groupe amine (-NH₂) et un groupe carboxyle (-COOH).</t>
  </si>
  <si>
    <t>SUPREPA-MED-027</t>
  </si>
  <si>
    <t>La fonction f(x) = x² + 2x + 1 a une racine double en :</t>
  </si>
  <si>
    <t>x² + 2x + 1 = (x+1)², donc la racine double est x = -1.</t>
  </si>
  <si>
    <t>SUPREPA-MED-028</t>
  </si>
  <si>
    <t>Les globules rouges sont produits dans :</t>
  </si>
  <si>
    <t>La moelle osseuse rouge</t>
  </si>
  <si>
    <t>Les ganglions</t>
  </si>
  <si>
    <t>Les globules rouges sont produits dans la moelle osseuse rouge.</t>
  </si>
  <si>
    <t>SUPREPA-MED-029</t>
  </si>
  <si>
    <t>Un patient subit une IRM. Le principe physique utilisé est :</t>
  </si>
  <si>
    <t>La résonance magnétique nucléaire</t>
  </si>
  <si>
    <t>La résonance magnétique électronique</t>
  </si>
  <si>
    <t>L'émission de positons</t>
  </si>
  <si>
    <t>La tomographie</t>
  </si>
  <si>
    <t>L'IRM utilise le principe de la résonance magnétique nucléaire (RMN).</t>
  </si>
  <si>
    <t>SUPREPA-MED-030</t>
  </si>
  <si>
    <t>Lequel de ces composés est un glucide ?</t>
  </si>
  <si>
    <t>Alanine</t>
  </si>
  <si>
    <t>Glycérol</t>
  </si>
  <si>
    <t>Acide gras</t>
  </si>
  <si>
    <t>Le glucose est un glucide (ose). L'alanine est un acide aminé.</t>
  </si>
  <si>
    <t>SUPREPA-MED-031</t>
  </si>
  <si>
    <t>La dérivée de tan(x) est sec²(x).</t>
  </si>
  <si>
    <t>SUPREPA-MED-032</t>
  </si>
  <si>
    <t>L'électrocardiogramme (ECG) mesure :</t>
  </si>
  <si>
    <t>L'activité électrique du cœur</t>
  </si>
  <si>
    <t>La pression artérielle</t>
  </si>
  <si>
    <t>Le débit sanguin</t>
  </si>
  <si>
    <t>La fréquence respiratoire</t>
  </si>
  <si>
    <t>L'ECG mesure l'activité électrique du cœur.</t>
  </si>
  <si>
    <t>SUPREPA-MED-033</t>
  </si>
  <si>
    <t>La dose équivalente est mesurée en :</t>
  </si>
  <si>
    <t>Becquerel (Bq)</t>
  </si>
  <si>
    <t>Curie (Ci)</t>
  </si>
  <si>
    <t>Le Sievert est l'unité de dose équivalente.</t>
  </si>
  <si>
    <t>SUPREPA-MED-034</t>
  </si>
  <si>
    <t>L'élément chimique dont le symbole est 'Ca' est :</t>
  </si>
  <si>
    <t>Cadmium</t>
  </si>
  <si>
    <t>Le symbole chimique du calcium est Ca.</t>
  </si>
  <si>
    <t>SUPREPA-MED-035</t>
  </si>
  <si>
    <t>La limite de (1 + 1/n)^n quand n tend vers l'infini est :</t>
  </si>
  <si>
    <t>C'est la définition du nombre e.</t>
  </si>
  <si>
    <t>SUPREPA-MED-036</t>
  </si>
  <si>
    <t>Le système nerveux central est composé de :</t>
  </si>
  <si>
    <t>L'encéphale et la moelle épinière</t>
  </si>
  <si>
    <t>Les nerfs et les ganglions</t>
  </si>
  <si>
    <t>Le cerveau et le cervelet</t>
  </si>
  <si>
    <t>Le système sympathique et parasympathique</t>
  </si>
  <si>
    <t>Le système nerveux central est composé de l'encéphale et de la moelle épinière.</t>
  </si>
  <si>
    <t>SUPREPA-MED-037</t>
  </si>
  <si>
    <t>Une radiographie utilise des rayons :</t>
  </si>
  <si>
    <t>X</t>
  </si>
  <si>
    <t>Gamma</t>
  </si>
  <si>
    <t>Ultraviolets</t>
  </si>
  <si>
    <t>Infrarouges</t>
  </si>
  <si>
    <t>Les radiographies utilisent les rayons X.</t>
  </si>
  <si>
    <t>SUPREPA-MED-038</t>
  </si>
  <si>
    <t>Un composé organique avec la fonction -CO- est un :</t>
  </si>
  <si>
    <t>La fonction -CO- (carbonyle) interne est une cétone.</t>
  </si>
  <si>
    <t>SUPREPA-MED-039</t>
  </si>
  <si>
    <t>La primitive de f(x) = 1/x est :</t>
  </si>
  <si>
    <t>-1/x² + C</t>
  </si>
  <si>
    <t>e^x + C</t>
  </si>
  <si>
    <t>La primitive de 1/x est ln</t>
  </si>
  <si>
    <t>SUPREPA-MED-040</t>
  </si>
  <si>
    <t>Lequel de ces organes n'est pas impliqué dans le système excréteur ?</t>
  </si>
  <si>
    <t>Le cœur n'est pas un organe excréteur.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</si>
</sst>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i/>
      <sz val="8"/>
      <color rgb="FF0F1115"/>
      <name val="Segoe UI"/>
      <family val="2"/>
    </font>
    <font>
      <b/>
      <sz val="10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10" fontId="1" fillId="2" borderId="1" xfId="0" applyNumberFormat="1" applyFont="1" applyFill="1" applyBorder="1" applyAlignment="1">
      <alignment horizontal="left" vertical="center" wrapText="1" indent="1"/>
    </xf>
    <xf numFmtId="9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9961-5761-44E3-B074-92553CF431FF}">
  <dimension ref="A1:P201"/>
  <sheetViews>
    <sheetView tabSelected="1" workbookViewId="0">
      <selection sqref="A1:L201"/>
    </sheetView>
  </sheetViews>
  <sheetFormatPr baseColWidth="10" defaultRowHeight="14.5" x14ac:dyDescent="0.35"/>
  <cols>
    <col min="7" max="7" width="15.54296875" customWidth="1"/>
    <col min="8" max="8" width="18" customWidth="1"/>
    <col min="10" max="10" width="14.6328125" customWidth="1"/>
    <col min="11" max="11" width="19.26953125" customWidth="1"/>
    <col min="12" max="12" width="17.453125" customWidth="1"/>
  </cols>
  <sheetData>
    <row r="1" spans="1:12" ht="3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72.5" x14ac:dyDescent="0.35">
      <c r="A2" s="4" t="s">
        <v>12</v>
      </c>
      <c r="B2" s="4" t="s">
        <v>13</v>
      </c>
      <c r="C2" s="4">
        <v>2024</v>
      </c>
      <c r="D2" s="4" t="s">
        <v>14</v>
      </c>
      <c r="E2" s="4" t="s">
        <v>15</v>
      </c>
      <c r="F2" s="4" t="s">
        <v>16</v>
      </c>
      <c r="G2" s="5">
        <v>0.23499999999999999</v>
      </c>
      <c r="H2" s="6">
        <v>0.25</v>
      </c>
      <c r="I2" s="5">
        <v>0.76500000000000001</v>
      </c>
      <c r="J2" s="5">
        <v>0.245</v>
      </c>
      <c r="K2" s="4" t="s">
        <v>17</v>
      </c>
      <c r="L2" s="4" t="s">
        <v>18</v>
      </c>
    </row>
    <row r="3" spans="1:12" ht="92" x14ac:dyDescent="0.35">
      <c r="A3" s="4" t="s">
        <v>12</v>
      </c>
      <c r="B3" s="4" t="s">
        <v>19</v>
      </c>
      <c r="C3" s="4">
        <v>2024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23</v>
      </c>
      <c r="J3" s="4" t="s">
        <v>25</v>
      </c>
      <c r="K3" s="4" t="s">
        <v>26</v>
      </c>
      <c r="L3" s="4" t="s">
        <v>27</v>
      </c>
    </row>
    <row r="4" spans="1:12" ht="57.5" x14ac:dyDescent="0.35">
      <c r="A4" s="4" t="s">
        <v>12</v>
      </c>
      <c r="B4" s="4" t="s">
        <v>28</v>
      </c>
      <c r="C4" s="4">
        <v>2024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17</v>
      </c>
      <c r="L4" s="4" t="s">
        <v>36</v>
      </c>
    </row>
    <row r="5" spans="1:12" ht="103.5" x14ac:dyDescent="0.35">
      <c r="A5" s="4" t="s">
        <v>12</v>
      </c>
      <c r="B5" s="4" t="s">
        <v>13</v>
      </c>
      <c r="C5" s="4">
        <v>2024</v>
      </c>
      <c r="D5" s="4" t="s">
        <v>37</v>
      </c>
      <c r="E5" s="4" t="s">
        <v>38</v>
      </c>
      <c r="F5" s="4" t="s">
        <v>39</v>
      </c>
      <c r="G5" s="4">
        <v>18</v>
      </c>
      <c r="H5" s="4">
        <v>27</v>
      </c>
      <c r="I5" s="4">
        <v>36</v>
      </c>
      <c r="J5" s="4">
        <v>22.5</v>
      </c>
      <c r="K5" s="4" t="s">
        <v>26</v>
      </c>
      <c r="L5" s="4" t="s">
        <v>40</v>
      </c>
    </row>
    <row r="6" spans="1:12" ht="69" x14ac:dyDescent="0.35">
      <c r="A6" s="4" t="s">
        <v>12</v>
      </c>
      <c r="B6" s="4" t="s">
        <v>19</v>
      </c>
      <c r="C6" s="4">
        <v>2024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17</v>
      </c>
      <c r="L6" s="4" t="s">
        <v>48</v>
      </c>
    </row>
    <row r="7" spans="1:12" ht="69" x14ac:dyDescent="0.35">
      <c r="A7" s="4" t="s">
        <v>12</v>
      </c>
      <c r="B7" s="4" t="s">
        <v>28</v>
      </c>
      <c r="C7" s="4">
        <v>2024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  <c r="K7" s="4" t="s">
        <v>26</v>
      </c>
      <c r="L7" s="4" t="s">
        <v>56</v>
      </c>
    </row>
    <row r="8" spans="1:12" ht="92" x14ac:dyDescent="0.35">
      <c r="A8" s="4" t="s">
        <v>12</v>
      </c>
      <c r="B8" s="4" t="s">
        <v>13</v>
      </c>
      <c r="C8" s="4">
        <v>2024</v>
      </c>
      <c r="D8" s="4" t="s">
        <v>57</v>
      </c>
      <c r="E8" s="4" t="s">
        <v>58</v>
      </c>
      <c r="F8" s="4" t="s">
        <v>59</v>
      </c>
      <c r="G8" s="4" t="s">
        <v>60</v>
      </c>
      <c r="H8" s="4" t="s">
        <v>61</v>
      </c>
      <c r="I8" s="4" t="s">
        <v>62</v>
      </c>
      <c r="J8" s="4" t="s">
        <v>63</v>
      </c>
      <c r="K8" s="4" t="s">
        <v>26</v>
      </c>
      <c r="L8" s="4" t="s">
        <v>64</v>
      </c>
    </row>
    <row r="9" spans="1:12" ht="92" x14ac:dyDescent="0.35">
      <c r="A9" s="4" t="s">
        <v>12</v>
      </c>
      <c r="B9" s="4" t="s">
        <v>19</v>
      </c>
      <c r="C9" s="4">
        <v>2024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  <c r="K9" s="4" t="s">
        <v>17</v>
      </c>
      <c r="L9" s="4" t="s">
        <v>72</v>
      </c>
    </row>
    <row r="10" spans="1:12" ht="69" x14ac:dyDescent="0.35">
      <c r="A10" s="4" t="s">
        <v>12</v>
      </c>
      <c r="B10" s="4" t="s">
        <v>28</v>
      </c>
      <c r="C10" s="4">
        <v>2024</v>
      </c>
      <c r="D10" s="4" t="s">
        <v>73</v>
      </c>
      <c r="E10" s="4" t="s">
        <v>74</v>
      </c>
      <c r="F10" s="4" t="s">
        <v>75</v>
      </c>
      <c r="G10" s="4" t="s">
        <v>76</v>
      </c>
      <c r="H10" s="4" t="s">
        <v>77</v>
      </c>
      <c r="I10" s="4" t="s">
        <v>78</v>
      </c>
      <c r="J10" s="4" t="s">
        <v>79</v>
      </c>
      <c r="K10" s="4" t="s">
        <v>17</v>
      </c>
      <c r="L10" s="4" t="s">
        <v>80</v>
      </c>
    </row>
    <row r="11" spans="1:12" ht="103.5" x14ac:dyDescent="0.35">
      <c r="A11" s="4" t="s">
        <v>12</v>
      </c>
      <c r="B11" s="4" t="s">
        <v>13</v>
      </c>
      <c r="C11" s="4">
        <v>2024</v>
      </c>
      <c r="D11" s="4" t="s">
        <v>81</v>
      </c>
      <c r="E11" s="4" t="s">
        <v>82</v>
      </c>
      <c r="F11" s="4" t="s">
        <v>83</v>
      </c>
      <c r="G11" s="4" t="s">
        <v>84</v>
      </c>
      <c r="H11" s="4" t="s">
        <v>85</v>
      </c>
      <c r="I11" s="4" t="s">
        <v>86</v>
      </c>
      <c r="J11" s="4" t="s">
        <v>87</v>
      </c>
      <c r="K11" s="4" t="s">
        <v>26</v>
      </c>
      <c r="L11" s="4" t="s">
        <v>88</v>
      </c>
    </row>
    <row r="12" spans="1:12" ht="92" x14ac:dyDescent="0.35">
      <c r="A12" s="4" t="s">
        <v>12</v>
      </c>
      <c r="B12" s="4" t="s">
        <v>19</v>
      </c>
      <c r="C12" s="4">
        <v>2024</v>
      </c>
      <c r="D12" s="4" t="s">
        <v>89</v>
      </c>
      <c r="E12" s="4" t="s">
        <v>90</v>
      </c>
      <c r="F12" s="4" t="s">
        <v>91</v>
      </c>
      <c r="G12" s="4" t="s">
        <v>92</v>
      </c>
      <c r="H12" s="4" t="s">
        <v>93</v>
      </c>
      <c r="I12" s="4" t="s">
        <v>94</v>
      </c>
      <c r="J12" s="4" t="s">
        <v>95</v>
      </c>
      <c r="K12" s="4" t="s">
        <v>17</v>
      </c>
      <c r="L12" s="4" t="s">
        <v>96</v>
      </c>
    </row>
    <row r="13" spans="1:12" ht="115" x14ac:dyDescent="0.35">
      <c r="A13" s="4" t="s">
        <v>12</v>
      </c>
      <c r="B13" s="4" t="s">
        <v>28</v>
      </c>
      <c r="C13" s="4">
        <v>2024</v>
      </c>
      <c r="D13" s="4" t="s">
        <v>97</v>
      </c>
      <c r="E13" s="4" t="s">
        <v>98</v>
      </c>
      <c r="F13" s="4" t="s">
        <v>99</v>
      </c>
      <c r="G13" s="4" t="s">
        <v>100</v>
      </c>
      <c r="H13" s="4" t="s">
        <v>101</v>
      </c>
      <c r="I13" s="4" t="s">
        <v>102</v>
      </c>
      <c r="J13" s="4" t="s">
        <v>103</v>
      </c>
      <c r="K13" s="4" t="s">
        <v>104</v>
      </c>
      <c r="L13" s="4" t="s">
        <v>105</v>
      </c>
    </row>
    <row r="14" spans="1:12" ht="92" x14ac:dyDescent="0.35">
      <c r="A14" s="4" t="s">
        <v>12</v>
      </c>
      <c r="B14" s="4" t="s">
        <v>13</v>
      </c>
      <c r="C14" s="4">
        <v>2024</v>
      </c>
      <c r="D14" s="4" t="s">
        <v>106</v>
      </c>
      <c r="E14" s="4" t="s">
        <v>107</v>
      </c>
      <c r="F14" s="4" t="s">
        <v>108</v>
      </c>
      <c r="G14" s="4" t="s">
        <v>109</v>
      </c>
      <c r="H14" s="4" t="s">
        <v>110</v>
      </c>
      <c r="I14" s="4" t="s">
        <v>111</v>
      </c>
      <c r="J14" s="4" t="s">
        <v>112</v>
      </c>
      <c r="K14" s="4" t="s">
        <v>26</v>
      </c>
      <c r="L14" s="4" t="s">
        <v>113</v>
      </c>
    </row>
    <row r="15" spans="1:12" ht="80.5" x14ac:dyDescent="0.35">
      <c r="A15" s="4" t="s">
        <v>12</v>
      </c>
      <c r="B15" s="4" t="s">
        <v>19</v>
      </c>
      <c r="C15" s="4">
        <v>2024</v>
      </c>
      <c r="D15" s="4" t="s">
        <v>114</v>
      </c>
      <c r="E15" s="4" t="s">
        <v>115</v>
      </c>
      <c r="F15" s="4" t="s">
        <v>116</v>
      </c>
      <c r="G15" s="4" t="s">
        <v>117</v>
      </c>
      <c r="H15" s="4" t="s">
        <v>118</v>
      </c>
      <c r="I15" s="4" t="s">
        <v>119</v>
      </c>
      <c r="J15" s="4" t="s">
        <v>120</v>
      </c>
      <c r="K15" s="4" t="s">
        <v>17</v>
      </c>
      <c r="L15" s="4" t="s">
        <v>121</v>
      </c>
    </row>
    <row r="16" spans="1:12" ht="57.5" x14ac:dyDescent="0.35">
      <c r="A16" s="4" t="s">
        <v>12</v>
      </c>
      <c r="B16" s="4" t="s">
        <v>28</v>
      </c>
      <c r="C16" s="4">
        <v>2024</v>
      </c>
      <c r="D16" s="4" t="s">
        <v>122</v>
      </c>
      <c r="E16" s="4" t="s">
        <v>123</v>
      </c>
      <c r="F16" s="4" t="s">
        <v>124</v>
      </c>
      <c r="G16" s="4" t="s">
        <v>125</v>
      </c>
      <c r="H16" s="4" t="s">
        <v>126</v>
      </c>
      <c r="I16" s="4" t="s">
        <v>127</v>
      </c>
      <c r="J16" s="4" t="s">
        <v>128</v>
      </c>
      <c r="K16" s="4" t="s">
        <v>26</v>
      </c>
      <c r="L16" s="4" t="s">
        <v>129</v>
      </c>
    </row>
    <row r="17" spans="1:12" ht="115" x14ac:dyDescent="0.35">
      <c r="A17" s="4" t="s">
        <v>12</v>
      </c>
      <c r="B17" s="4" t="s">
        <v>13</v>
      </c>
      <c r="C17" s="4">
        <v>2024</v>
      </c>
      <c r="D17" s="4" t="s">
        <v>130</v>
      </c>
      <c r="E17" s="4" t="s">
        <v>131</v>
      </c>
      <c r="F17" s="4" t="s">
        <v>132</v>
      </c>
      <c r="G17" s="4" t="s">
        <v>133</v>
      </c>
      <c r="H17" s="4" t="s">
        <v>134</v>
      </c>
      <c r="I17" s="4" t="s">
        <v>135</v>
      </c>
      <c r="J17" s="4" t="s">
        <v>136</v>
      </c>
      <c r="K17" s="4" t="s">
        <v>26</v>
      </c>
      <c r="L17" s="4" t="s">
        <v>137</v>
      </c>
    </row>
    <row r="18" spans="1:12" ht="69" x14ac:dyDescent="0.35">
      <c r="A18" s="4" t="s">
        <v>12</v>
      </c>
      <c r="B18" s="4" t="s">
        <v>19</v>
      </c>
      <c r="C18" s="4">
        <v>2024</v>
      </c>
      <c r="D18" s="4" t="s">
        <v>138</v>
      </c>
      <c r="E18" s="4" t="s">
        <v>139</v>
      </c>
      <c r="F18" s="4" t="s">
        <v>140</v>
      </c>
      <c r="G18" s="4" t="s">
        <v>141</v>
      </c>
      <c r="H18" s="4" t="s">
        <v>142</v>
      </c>
      <c r="I18" s="4" t="s">
        <v>143</v>
      </c>
      <c r="J18" s="4" t="s">
        <v>144</v>
      </c>
      <c r="K18" s="4" t="s">
        <v>104</v>
      </c>
      <c r="L18" s="4" t="s">
        <v>145</v>
      </c>
    </row>
    <row r="19" spans="1:12" ht="46" x14ac:dyDescent="0.35">
      <c r="A19" s="4" t="s">
        <v>12</v>
      </c>
      <c r="B19" s="4" t="s">
        <v>28</v>
      </c>
      <c r="C19" s="4">
        <v>2024</v>
      </c>
      <c r="D19" s="4" t="s">
        <v>146</v>
      </c>
      <c r="E19" s="4" t="s">
        <v>147</v>
      </c>
      <c r="F19" s="4" t="s">
        <v>148</v>
      </c>
      <c r="G19" s="4" t="s">
        <v>149</v>
      </c>
      <c r="H19" s="4" t="s">
        <v>150</v>
      </c>
      <c r="I19" s="4" t="s">
        <v>151</v>
      </c>
      <c r="J19" s="4" t="s">
        <v>152</v>
      </c>
      <c r="K19" s="4" t="s">
        <v>153</v>
      </c>
      <c r="L19" s="4" t="s">
        <v>154</v>
      </c>
    </row>
    <row r="20" spans="1:12" ht="115" x14ac:dyDescent="0.35">
      <c r="A20" s="4" t="s">
        <v>12</v>
      </c>
      <c r="B20" s="4" t="s">
        <v>13</v>
      </c>
      <c r="C20" s="4">
        <v>2024</v>
      </c>
      <c r="D20" s="4" t="s">
        <v>155</v>
      </c>
      <c r="E20" s="4" t="s">
        <v>156</v>
      </c>
      <c r="F20" s="4" t="s">
        <v>157</v>
      </c>
      <c r="G20" s="4" t="s">
        <v>158</v>
      </c>
      <c r="H20" s="4" t="s">
        <v>159</v>
      </c>
      <c r="I20" s="4" t="s">
        <v>136</v>
      </c>
      <c r="J20" s="4" t="s">
        <v>160</v>
      </c>
      <c r="K20" s="4" t="s">
        <v>26</v>
      </c>
      <c r="L20" s="4" t="s">
        <v>161</v>
      </c>
    </row>
    <row r="21" spans="1:12" ht="149.5" x14ac:dyDescent="0.35">
      <c r="A21" s="4" t="s">
        <v>12</v>
      </c>
      <c r="B21" s="4" t="s">
        <v>19</v>
      </c>
      <c r="C21" s="4">
        <v>2024</v>
      </c>
      <c r="D21" s="4" t="s">
        <v>162</v>
      </c>
      <c r="E21" s="4" t="s">
        <v>163</v>
      </c>
      <c r="F21" s="4" t="s">
        <v>164</v>
      </c>
      <c r="G21" s="4" t="s">
        <v>165</v>
      </c>
      <c r="H21" s="4" t="s">
        <v>166</v>
      </c>
      <c r="I21" s="4" t="s">
        <v>167</v>
      </c>
      <c r="J21" s="4" t="s">
        <v>168</v>
      </c>
      <c r="K21" s="4" t="s">
        <v>17</v>
      </c>
      <c r="L21" s="4" t="s">
        <v>169</v>
      </c>
    </row>
    <row r="22" spans="1:12" ht="126.5" x14ac:dyDescent="0.35">
      <c r="A22" s="4" t="s">
        <v>12</v>
      </c>
      <c r="B22" s="4" t="s">
        <v>13</v>
      </c>
      <c r="C22" s="4">
        <v>2024</v>
      </c>
      <c r="D22" s="4" t="s">
        <v>170</v>
      </c>
      <c r="E22" s="4" t="s">
        <v>171</v>
      </c>
      <c r="F22" s="4" t="s">
        <v>172</v>
      </c>
      <c r="G22" s="4" t="s">
        <v>173</v>
      </c>
      <c r="H22" s="4" t="s">
        <v>174</v>
      </c>
      <c r="I22" s="4" t="s">
        <v>175</v>
      </c>
      <c r="J22" s="4" t="s">
        <v>176</v>
      </c>
      <c r="K22" s="4" t="s">
        <v>17</v>
      </c>
      <c r="L22" s="4" t="s">
        <v>177</v>
      </c>
    </row>
    <row r="23" spans="1:12" ht="57.5" x14ac:dyDescent="0.35">
      <c r="A23" s="4" t="s">
        <v>12</v>
      </c>
      <c r="B23" s="4" t="s">
        <v>19</v>
      </c>
      <c r="C23" s="4">
        <v>2024</v>
      </c>
      <c r="D23" s="4" t="s">
        <v>178</v>
      </c>
      <c r="E23" s="4" t="s">
        <v>179</v>
      </c>
      <c r="F23" s="4" t="s">
        <v>180</v>
      </c>
      <c r="G23" s="4" t="s">
        <v>181</v>
      </c>
      <c r="H23" s="4" t="s">
        <v>182</v>
      </c>
      <c r="I23" s="4" t="s">
        <v>183</v>
      </c>
      <c r="J23" s="4" t="s">
        <v>70</v>
      </c>
      <c r="K23" s="4" t="s">
        <v>17</v>
      </c>
      <c r="L23" s="4" t="s">
        <v>184</v>
      </c>
    </row>
    <row r="24" spans="1:12" ht="69" x14ac:dyDescent="0.35">
      <c r="A24" s="4" t="s">
        <v>12</v>
      </c>
      <c r="B24" s="4" t="s">
        <v>28</v>
      </c>
      <c r="C24" s="4">
        <v>2024</v>
      </c>
      <c r="D24" s="4" t="s">
        <v>185</v>
      </c>
      <c r="E24" s="4" t="s">
        <v>186</v>
      </c>
      <c r="F24" s="4" t="s">
        <v>187</v>
      </c>
      <c r="G24" s="4">
        <v>1879</v>
      </c>
      <c r="H24" s="4">
        <v>1889</v>
      </c>
      <c r="I24" s="4">
        <v>1899</v>
      </c>
      <c r="J24" s="4">
        <v>1909</v>
      </c>
      <c r="K24" s="4" t="s">
        <v>26</v>
      </c>
      <c r="L24" s="4" t="s">
        <v>188</v>
      </c>
    </row>
    <row r="25" spans="1:12" ht="115" x14ac:dyDescent="0.35">
      <c r="A25" s="4" t="s">
        <v>12</v>
      </c>
      <c r="B25" s="4" t="s">
        <v>13</v>
      </c>
      <c r="C25" s="4">
        <v>2024</v>
      </c>
      <c r="D25" s="4" t="s">
        <v>189</v>
      </c>
      <c r="E25" s="4" t="s">
        <v>190</v>
      </c>
      <c r="F25" s="4" t="s">
        <v>191</v>
      </c>
      <c r="G25" s="4" t="s">
        <v>192</v>
      </c>
      <c r="H25" s="4" t="s">
        <v>193</v>
      </c>
      <c r="I25" s="4" t="s">
        <v>194</v>
      </c>
      <c r="J25" s="4" t="s">
        <v>195</v>
      </c>
      <c r="K25" s="4" t="s">
        <v>17</v>
      </c>
      <c r="L25" s="4" t="s">
        <v>196</v>
      </c>
    </row>
    <row r="26" spans="1:12" ht="92" x14ac:dyDescent="0.35">
      <c r="A26" s="4" t="s">
        <v>12</v>
      </c>
      <c r="B26" s="4" t="s">
        <v>19</v>
      </c>
      <c r="C26" s="4">
        <v>2024</v>
      </c>
      <c r="D26" s="4" t="s">
        <v>197</v>
      </c>
      <c r="E26" s="4" t="s">
        <v>198</v>
      </c>
      <c r="F26" s="4" t="s">
        <v>199</v>
      </c>
      <c r="G26" s="4" t="s">
        <v>200</v>
      </c>
      <c r="H26" s="4" t="s">
        <v>201</v>
      </c>
      <c r="I26" s="4" t="s">
        <v>202</v>
      </c>
      <c r="J26" s="4" t="s">
        <v>203</v>
      </c>
      <c r="K26" s="4" t="s">
        <v>17</v>
      </c>
      <c r="L26" s="4" t="s">
        <v>204</v>
      </c>
    </row>
    <row r="27" spans="1:12" ht="69" x14ac:dyDescent="0.35">
      <c r="A27" s="4" t="s">
        <v>12</v>
      </c>
      <c r="B27" s="4" t="s">
        <v>28</v>
      </c>
      <c r="C27" s="4">
        <v>2024</v>
      </c>
      <c r="D27" s="4" t="s">
        <v>205</v>
      </c>
      <c r="E27" s="4" t="s">
        <v>206</v>
      </c>
      <c r="F27" s="4" t="s">
        <v>207</v>
      </c>
      <c r="G27" s="4" t="s">
        <v>208</v>
      </c>
      <c r="H27" s="4" t="s">
        <v>209</v>
      </c>
      <c r="I27" s="4" t="s">
        <v>210</v>
      </c>
      <c r="J27" s="4" t="s">
        <v>211</v>
      </c>
      <c r="K27" s="4" t="s">
        <v>153</v>
      </c>
      <c r="L27" s="4" t="s">
        <v>212</v>
      </c>
    </row>
    <row r="28" spans="1:12" ht="69" x14ac:dyDescent="0.35">
      <c r="A28" s="4" t="s">
        <v>12</v>
      </c>
      <c r="B28" s="4" t="s">
        <v>13</v>
      </c>
      <c r="C28" s="4">
        <v>2024</v>
      </c>
      <c r="D28" s="4" t="s">
        <v>213</v>
      </c>
      <c r="E28" s="4" t="s">
        <v>214</v>
      </c>
      <c r="F28" s="4" t="s">
        <v>215</v>
      </c>
      <c r="G28" s="4" t="s">
        <v>216</v>
      </c>
      <c r="H28" s="4" t="s">
        <v>217</v>
      </c>
      <c r="I28" s="4" t="s">
        <v>218</v>
      </c>
      <c r="J28" s="4" t="s">
        <v>219</v>
      </c>
      <c r="K28" s="4" t="s">
        <v>26</v>
      </c>
      <c r="L28" s="4" t="s">
        <v>220</v>
      </c>
    </row>
    <row r="29" spans="1:12" ht="103.5" x14ac:dyDescent="0.35">
      <c r="A29" s="4" t="s">
        <v>12</v>
      </c>
      <c r="B29" s="4" t="s">
        <v>19</v>
      </c>
      <c r="C29" s="4">
        <v>2024</v>
      </c>
      <c r="D29" s="4" t="s">
        <v>221</v>
      </c>
      <c r="E29" s="4" t="s">
        <v>222</v>
      </c>
      <c r="F29" s="4" t="s">
        <v>223</v>
      </c>
      <c r="G29" s="4" t="s">
        <v>94</v>
      </c>
      <c r="H29" s="4" t="s">
        <v>224</v>
      </c>
      <c r="I29" s="4" t="s">
        <v>225</v>
      </c>
      <c r="J29" s="4" t="s">
        <v>226</v>
      </c>
      <c r="K29" s="4" t="s">
        <v>17</v>
      </c>
      <c r="L29" s="4" t="s">
        <v>227</v>
      </c>
    </row>
    <row r="30" spans="1:12" ht="57.5" x14ac:dyDescent="0.35">
      <c r="A30" s="4" t="s">
        <v>12</v>
      </c>
      <c r="B30" s="4" t="s">
        <v>28</v>
      </c>
      <c r="C30" s="4">
        <v>2024</v>
      </c>
      <c r="D30" s="4" t="s">
        <v>228</v>
      </c>
      <c r="E30" s="4" t="s">
        <v>229</v>
      </c>
      <c r="F30" s="4" t="s">
        <v>230</v>
      </c>
      <c r="G30" s="4" t="s">
        <v>231</v>
      </c>
      <c r="H30" s="4" t="s">
        <v>232</v>
      </c>
      <c r="I30" s="4" t="s">
        <v>233</v>
      </c>
      <c r="J30" s="4" t="s">
        <v>234</v>
      </c>
      <c r="K30" s="4" t="s">
        <v>26</v>
      </c>
      <c r="L30" s="4" t="s">
        <v>235</v>
      </c>
    </row>
    <row r="31" spans="1:12" ht="115" x14ac:dyDescent="0.35">
      <c r="A31" s="4" t="s">
        <v>12</v>
      </c>
      <c r="B31" s="4" t="s">
        <v>13</v>
      </c>
      <c r="C31" s="4">
        <v>2024</v>
      </c>
      <c r="D31" s="4" t="s">
        <v>236</v>
      </c>
      <c r="E31" s="4" t="s">
        <v>237</v>
      </c>
      <c r="F31" s="4" t="s">
        <v>238</v>
      </c>
      <c r="G31" s="6">
        <v>0.2</v>
      </c>
      <c r="H31" s="6">
        <v>0.25</v>
      </c>
      <c r="I31" s="6">
        <v>0.3</v>
      </c>
      <c r="J31" s="5">
        <v>0.16669999999999999</v>
      </c>
      <c r="K31" s="4" t="s">
        <v>17</v>
      </c>
      <c r="L31" s="4" t="s">
        <v>239</v>
      </c>
    </row>
    <row r="32" spans="1:12" ht="80.5" x14ac:dyDescent="0.35">
      <c r="A32" s="4" t="s">
        <v>12</v>
      </c>
      <c r="B32" s="4" t="s">
        <v>19</v>
      </c>
      <c r="C32" s="4">
        <v>2024</v>
      </c>
      <c r="D32" s="4" t="s">
        <v>240</v>
      </c>
      <c r="E32" s="4" t="s">
        <v>241</v>
      </c>
      <c r="F32" s="4" t="s">
        <v>242</v>
      </c>
      <c r="G32" s="4" t="s">
        <v>243</v>
      </c>
      <c r="H32" s="4" t="s">
        <v>244</v>
      </c>
      <c r="I32" s="4" t="s">
        <v>245</v>
      </c>
      <c r="J32" s="4" t="s">
        <v>246</v>
      </c>
      <c r="K32" s="4" t="s">
        <v>104</v>
      </c>
      <c r="L32" s="4" t="s">
        <v>247</v>
      </c>
    </row>
    <row r="33" spans="1:12" ht="69" x14ac:dyDescent="0.35">
      <c r="A33" s="4" t="s">
        <v>12</v>
      </c>
      <c r="B33" s="4" t="s">
        <v>28</v>
      </c>
      <c r="C33" s="4">
        <v>2024</v>
      </c>
      <c r="D33" s="4" t="s">
        <v>248</v>
      </c>
      <c r="E33" s="4" t="s">
        <v>249</v>
      </c>
      <c r="F33" s="4" t="s">
        <v>250</v>
      </c>
      <c r="G33" s="4" t="s">
        <v>251</v>
      </c>
      <c r="H33" s="4" t="s">
        <v>252</v>
      </c>
      <c r="I33" s="4" t="s">
        <v>253</v>
      </c>
      <c r="J33" s="4" t="s">
        <v>254</v>
      </c>
      <c r="K33" s="4" t="s">
        <v>17</v>
      </c>
      <c r="L33" s="4" t="s">
        <v>255</v>
      </c>
    </row>
    <row r="34" spans="1:12" ht="103.5" x14ac:dyDescent="0.35">
      <c r="A34" s="4" t="s">
        <v>12</v>
      </c>
      <c r="B34" s="4" t="s">
        <v>13</v>
      </c>
      <c r="C34" s="4">
        <v>2024</v>
      </c>
      <c r="D34" s="4" t="s">
        <v>256</v>
      </c>
      <c r="E34" s="4" t="s">
        <v>257</v>
      </c>
      <c r="F34" s="4" t="s">
        <v>258</v>
      </c>
      <c r="G34" s="6">
        <v>0.1</v>
      </c>
      <c r="H34" s="6">
        <v>0.2</v>
      </c>
      <c r="I34" s="6">
        <v>0.21</v>
      </c>
      <c r="J34" s="6">
        <v>1</v>
      </c>
      <c r="K34" s="4" t="s">
        <v>153</v>
      </c>
      <c r="L34" s="4" t="s">
        <v>259</v>
      </c>
    </row>
    <row r="35" spans="1:12" ht="92" x14ac:dyDescent="0.35">
      <c r="A35" s="4" t="s">
        <v>12</v>
      </c>
      <c r="B35" s="4" t="s">
        <v>19</v>
      </c>
      <c r="C35" s="4">
        <v>2024</v>
      </c>
      <c r="D35" s="4" t="s">
        <v>260</v>
      </c>
      <c r="E35" s="4" t="s">
        <v>261</v>
      </c>
      <c r="F35" s="4" t="s">
        <v>262</v>
      </c>
      <c r="G35" s="4" t="s">
        <v>165</v>
      </c>
      <c r="H35" s="4" t="s">
        <v>263</v>
      </c>
      <c r="I35" s="4" t="s">
        <v>264</v>
      </c>
      <c r="J35" s="4" t="s">
        <v>265</v>
      </c>
      <c r="K35" s="4" t="s">
        <v>17</v>
      </c>
      <c r="L35" s="4" t="s">
        <v>266</v>
      </c>
    </row>
    <row r="36" spans="1:12" ht="46" x14ac:dyDescent="0.35">
      <c r="A36" s="4" t="s">
        <v>12</v>
      </c>
      <c r="B36" s="4" t="s">
        <v>28</v>
      </c>
      <c r="C36" s="4">
        <v>2024</v>
      </c>
      <c r="D36" s="4" t="s">
        <v>267</v>
      </c>
      <c r="E36" s="4" t="s">
        <v>268</v>
      </c>
      <c r="F36" s="4" t="s">
        <v>269</v>
      </c>
      <c r="G36" s="4" t="s">
        <v>270</v>
      </c>
      <c r="H36" s="4" t="s">
        <v>271</v>
      </c>
      <c r="I36" s="4" t="s">
        <v>272</v>
      </c>
      <c r="J36" s="4" t="s">
        <v>273</v>
      </c>
      <c r="K36" s="4" t="s">
        <v>153</v>
      </c>
      <c r="L36" s="4" t="s">
        <v>274</v>
      </c>
    </row>
    <row r="37" spans="1:12" ht="115" x14ac:dyDescent="0.35">
      <c r="A37" s="4" t="s">
        <v>12</v>
      </c>
      <c r="B37" s="4" t="s">
        <v>13</v>
      </c>
      <c r="C37" s="4">
        <v>2024</v>
      </c>
      <c r="D37" s="4" t="s">
        <v>275</v>
      </c>
      <c r="E37" s="4" t="s">
        <v>276</v>
      </c>
      <c r="F37" s="4" t="s">
        <v>277</v>
      </c>
      <c r="G37" s="4">
        <v>12.24</v>
      </c>
      <c r="H37" s="4">
        <v>12.36</v>
      </c>
      <c r="I37" s="4">
        <v>12.48</v>
      </c>
      <c r="J37" s="4">
        <v>12.6</v>
      </c>
      <c r="K37" s="4" t="s">
        <v>17</v>
      </c>
      <c r="L37" s="4" t="s">
        <v>278</v>
      </c>
    </row>
    <row r="38" spans="1:12" ht="80.5" x14ac:dyDescent="0.35">
      <c r="A38" s="4" t="s">
        <v>12</v>
      </c>
      <c r="B38" s="4" t="s">
        <v>19</v>
      </c>
      <c r="C38" s="4">
        <v>2024</v>
      </c>
      <c r="D38" s="4" t="s">
        <v>279</v>
      </c>
      <c r="E38" s="4" t="s">
        <v>280</v>
      </c>
      <c r="F38" s="4" t="s">
        <v>281</v>
      </c>
      <c r="G38" s="4" t="s">
        <v>282</v>
      </c>
      <c r="H38" s="4" t="s">
        <v>283</v>
      </c>
      <c r="I38" s="4" t="s">
        <v>284</v>
      </c>
      <c r="J38" s="4" t="s">
        <v>285</v>
      </c>
      <c r="K38" s="4" t="s">
        <v>26</v>
      </c>
      <c r="L38" s="4" t="s">
        <v>286</v>
      </c>
    </row>
    <row r="39" spans="1:12" ht="57.5" x14ac:dyDescent="0.35">
      <c r="A39" s="4" t="s">
        <v>12</v>
      </c>
      <c r="B39" s="4" t="s">
        <v>28</v>
      </c>
      <c r="C39" s="4">
        <v>2024</v>
      </c>
      <c r="D39" s="4" t="s">
        <v>287</v>
      </c>
      <c r="E39" s="4" t="s">
        <v>288</v>
      </c>
      <c r="F39" s="4" t="s">
        <v>289</v>
      </c>
      <c r="G39" s="4">
        <v>1987</v>
      </c>
      <c r="H39" s="4">
        <v>1988</v>
      </c>
      <c r="I39" s="4">
        <v>1989</v>
      </c>
      <c r="J39" s="4">
        <v>1990</v>
      </c>
      <c r="K39" s="4" t="s">
        <v>153</v>
      </c>
      <c r="L39" s="4" t="s">
        <v>290</v>
      </c>
    </row>
    <row r="40" spans="1:12" ht="80.5" x14ac:dyDescent="0.35">
      <c r="A40" s="4" t="s">
        <v>12</v>
      </c>
      <c r="B40" s="4" t="s">
        <v>13</v>
      </c>
      <c r="C40" s="4">
        <v>2024</v>
      </c>
      <c r="D40" s="4" t="s">
        <v>291</v>
      </c>
      <c r="E40" s="4" t="s">
        <v>292</v>
      </c>
      <c r="F40" s="4" t="s">
        <v>293</v>
      </c>
      <c r="G40" s="4" t="s">
        <v>294</v>
      </c>
      <c r="H40" s="4" t="s">
        <v>295</v>
      </c>
      <c r="I40" s="4" t="s">
        <v>296</v>
      </c>
      <c r="J40" s="4" t="s">
        <v>194</v>
      </c>
      <c r="K40" s="4" t="s">
        <v>153</v>
      </c>
      <c r="L40" s="4" t="s">
        <v>297</v>
      </c>
    </row>
    <row r="41" spans="1:12" ht="46" x14ac:dyDescent="0.35">
      <c r="A41" s="4" t="s">
        <v>12</v>
      </c>
      <c r="B41" s="4" t="s">
        <v>19</v>
      </c>
      <c r="C41" s="4">
        <v>2024</v>
      </c>
      <c r="D41" s="4" t="s">
        <v>298</v>
      </c>
      <c r="E41" s="4" t="s">
        <v>299</v>
      </c>
      <c r="F41" s="4" t="s">
        <v>300</v>
      </c>
      <c r="G41" s="4" t="s">
        <v>301</v>
      </c>
      <c r="H41" s="4" t="s">
        <v>302</v>
      </c>
      <c r="I41" s="4" t="s">
        <v>303</v>
      </c>
      <c r="J41" s="4" t="s">
        <v>202</v>
      </c>
      <c r="K41" s="4" t="s">
        <v>26</v>
      </c>
      <c r="L41" s="4" t="s">
        <v>304</v>
      </c>
    </row>
    <row r="42" spans="1:12" ht="69" x14ac:dyDescent="0.35">
      <c r="A42" s="4" t="s">
        <v>305</v>
      </c>
      <c r="B42" s="4" t="s">
        <v>306</v>
      </c>
      <c r="C42" s="4">
        <v>2024</v>
      </c>
      <c r="D42" s="4" t="s">
        <v>307</v>
      </c>
      <c r="E42" s="4" t="s">
        <v>15</v>
      </c>
      <c r="F42" s="4" t="s">
        <v>308</v>
      </c>
      <c r="G42" s="4">
        <f>-1/3</f>
        <v>-0.33333333333333331</v>
      </c>
      <c r="H42" s="4">
        <f>-1/7</f>
        <v>-0.14285714285714285</v>
      </c>
      <c r="I42" s="4">
        <f>-1/2</f>
        <v>-0.5</v>
      </c>
      <c r="J42" s="4">
        <f>-1/5</f>
        <v>-0.2</v>
      </c>
      <c r="K42" s="4" t="s">
        <v>26</v>
      </c>
      <c r="L42" s="4" t="s">
        <v>309</v>
      </c>
    </row>
    <row r="43" spans="1:12" ht="149.5" x14ac:dyDescent="0.35">
      <c r="A43" s="4" t="s">
        <v>305</v>
      </c>
      <c r="B43" s="4" t="s">
        <v>310</v>
      </c>
      <c r="C43" s="4">
        <v>2024</v>
      </c>
      <c r="D43" s="4" t="s">
        <v>311</v>
      </c>
      <c r="E43" s="4" t="s">
        <v>21</v>
      </c>
      <c r="F43" s="4" t="s">
        <v>312</v>
      </c>
      <c r="G43" s="4" t="s">
        <v>313</v>
      </c>
      <c r="H43" s="4" t="s">
        <v>314</v>
      </c>
      <c r="I43" s="4" t="s">
        <v>315</v>
      </c>
      <c r="J43" s="4" t="s">
        <v>316</v>
      </c>
      <c r="K43" s="4" t="s">
        <v>26</v>
      </c>
      <c r="L43" s="4" t="s">
        <v>317</v>
      </c>
    </row>
    <row r="44" spans="1:12" ht="80.5" x14ac:dyDescent="0.35">
      <c r="A44" s="4" t="s">
        <v>305</v>
      </c>
      <c r="B44" s="4" t="s">
        <v>318</v>
      </c>
      <c r="C44" s="4">
        <v>2024</v>
      </c>
      <c r="D44" s="4" t="s">
        <v>319</v>
      </c>
      <c r="E44" s="4" t="s">
        <v>30</v>
      </c>
      <c r="F44" s="4" t="s">
        <v>320</v>
      </c>
      <c r="G44" s="4" t="s">
        <v>321</v>
      </c>
      <c r="H44" s="4" t="s">
        <v>322</v>
      </c>
      <c r="I44" s="4" t="s">
        <v>323</v>
      </c>
      <c r="J44" s="4" t="s">
        <v>324</v>
      </c>
      <c r="K44" s="4" t="s">
        <v>26</v>
      </c>
      <c r="L44" s="4" t="s">
        <v>325</v>
      </c>
    </row>
    <row r="45" spans="1:12" ht="34.5" x14ac:dyDescent="0.35">
      <c r="A45" s="4" t="s">
        <v>305</v>
      </c>
      <c r="B45" s="4" t="s">
        <v>306</v>
      </c>
      <c r="C45" s="4">
        <v>2024</v>
      </c>
      <c r="D45" s="4" t="s">
        <v>326</v>
      </c>
      <c r="E45" s="4" t="s">
        <v>38</v>
      </c>
      <c r="F45" s="4" t="s">
        <v>327</v>
      </c>
      <c r="G45" s="4" t="s">
        <v>328</v>
      </c>
      <c r="H45" s="4" t="s">
        <v>329</v>
      </c>
      <c r="I45" s="4" t="s">
        <v>330</v>
      </c>
      <c r="J45" s="4" t="s">
        <v>331</v>
      </c>
      <c r="K45" s="4" t="s">
        <v>17</v>
      </c>
      <c r="L45" s="4" t="s">
        <v>332</v>
      </c>
    </row>
    <row r="46" spans="1:12" ht="103.5" x14ac:dyDescent="0.35">
      <c r="A46" s="4" t="s">
        <v>305</v>
      </c>
      <c r="B46" s="4" t="s">
        <v>310</v>
      </c>
      <c r="C46" s="4">
        <v>2024</v>
      </c>
      <c r="D46" s="4" t="s">
        <v>333</v>
      </c>
      <c r="E46" s="4" t="s">
        <v>42</v>
      </c>
      <c r="F46" s="4" t="s">
        <v>334</v>
      </c>
      <c r="G46" s="4" t="s">
        <v>335</v>
      </c>
      <c r="H46" s="4" t="s">
        <v>336</v>
      </c>
      <c r="I46" s="4" t="s">
        <v>337</v>
      </c>
      <c r="J46" s="4" t="s">
        <v>338</v>
      </c>
      <c r="K46" s="4" t="s">
        <v>26</v>
      </c>
      <c r="L46" s="4" t="s">
        <v>339</v>
      </c>
    </row>
    <row r="47" spans="1:12" ht="57.5" x14ac:dyDescent="0.35">
      <c r="A47" s="4" t="s">
        <v>305</v>
      </c>
      <c r="B47" s="4" t="s">
        <v>318</v>
      </c>
      <c r="C47" s="4">
        <v>2024</v>
      </c>
      <c r="D47" s="4" t="s">
        <v>340</v>
      </c>
      <c r="E47" s="4" t="s">
        <v>50</v>
      </c>
      <c r="F47" s="4" t="s">
        <v>341</v>
      </c>
      <c r="G47" s="4" t="s">
        <v>342</v>
      </c>
      <c r="H47" s="4" t="s">
        <v>343</v>
      </c>
      <c r="I47" s="4" t="s">
        <v>344</v>
      </c>
      <c r="J47" s="4" t="s">
        <v>345</v>
      </c>
      <c r="K47" s="4" t="s">
        <v>17</v>
      </c>
      <c r="L47" s="4" t="s">
        <v>346</v>
      </c>
    </row>
    <row r="48" spans="1:12" ht="46" x14ac:dyDescent="0.35">
      <c r="A48" s="4" t="s">
        <v>305</v>
      </c>
      <c r="B48" s="4" t="s">
        <v>306</v>
      </c>
      <c r="C48" s="4">
        <v>2024</v>
      </c>
      <c r="D48" s="4" t="s">
        <v>347</v>
      </c>
      <c r="E48" s="4" t="s">
        <v>58</v>
      </c>
      <c r="F48" s="4" t="s">
        <v>348</v>
      </c>
      <c r="G48" s="4">
        <v>2</v>
      </c>
      <c r="H48" s="4">
        <v>4</v>
      </c>
      <c r="I48" s="4">
        <v>1</v>
      </c>
      <c r="J48" s="4">
        <v>0</v>
      </c>
      <c r="K48" s="4" t="s">
        <v>26</v>
      </c>
      <c r="L48" s="4" t="s">
        <v>349</v>
      </c>
    </row>
    <row r="49" spans="1:12" ht="115" x14ac:dyDescent="0.35">
      <c r="A49" s="4" t="s">
        <v>305</v>
      </c>
      <c r="B49" s="4" t="s">
        <v>310</v>
      </c>
      <c r="C49" s="4">
        <v>2024</v>
      </c>
      <c r="D49" s="4" t="s">
        <v>350</v>
      </c>
      <c r="E49" s="4" t="s">
        <v>66</v>
      </c>
      <c r="F49" s="4" t="s">
        <v>351</v>
      </c>
      <c r="G49" s="4" t="s">
        <v>352</v>
      </c>
      <c r="H49" s="4" t="s">
        <v>353</v>
      </c>
      <c r="I49" s="4" t="s">
        <v>354</v>
      </c>
      <c r="J49" s="4" t="s">
        <v>355</v>
      </c>
      <c r="K49" s="4" t="s">
        <v>26</v>
      </c>
      <c r="L49" s="4" t="s">
        <v>356</v>
      </c>
    </row>
    <row r="50" spans="1:12" ht="69" x14ac:dyDescent="0.35">
      <c r="A50" s="4" t="s">
        <v>305</v>
      </c>
      <c r="B50" s="4" t="s">
        <v>318</v>
      </c>
      <c r="C50" s="4">
        <v>2024</v>
      </c>
      <c r="D50" s="4" t="s">
        <v>357</v>
      </c>
      <c r="E50" s="4" t="s">
        <v>74</v>
      </c>
      <c r="F50" s="4" t="s">
        <v>358</v>
      </c>
      <c r="G50" s="4" t="s">
        <v>359</v>
      </c>
      <c r="H50" s="4" t="s">
        <v>360</v>
      </c>
      <c r="I50" s="4" t="s">
        <v>361</v>
      </c>
      <c r="J50" s="4" t="s">
        <v>362</v>
      </c>
      <c r="K50" s="4" t="s">
        <v>26</v>
      </c>
      <c r="L50" s="4" t="s">
        <v>363</v>
      </c>
    </row>
    <row r="51" spans="1:12" ht="34.5" x14ac:dyDescent="0.35">
      <c r="A51" s="4" t="s">
        <v>305</v>
      </c>
      <c r="B51" s="4" t="s">
        <v>306</v>
      </c>
      <c r="C51" s="4">
        <v>2024</v>
      </c>
      <c r="D51" s="4" t="s">
        <v>364</v>
      </c>
      <c r="E51" s="4" t="s">
        <v>82</v>
      </c>
      <c r="F51" s="4" t="s">
        <v>365</v>
      </c>
      <c r="G51" s="4">
        <v>3</v>
      </c>
      <c r="H51" s="4">
        <v>4</v>
      </c>
      <c r="I51" s="4">
        <v>5</v>
      </c>
      <c r="J51" s="4">
        <v>6</v>
      </c>
      <c r="K51" s="4" t="s">
        <v>153</v>
      </c>
      <c r="L51" s="4" t="s">
        <v>366</v>
      </c>
    </row>
    <row r="52" spans="1:12" ht="138" x14ac:dyDescent="0.35">
      <c r="A52" s="4" t="s">
        <v>305</v>
      </c>
      <c r="B52" s="4" t="s">
        <v>310</v>
      </c>
      <c r="C52" s="4">
        <v>2024</v>
      </c>
      <c r="D52" s="4" t="s">
        <v>367</v>
      </c>
      <c r="E52" s="4" t="s">
        <v>90</v>
      </c>
      <c r="F52" s="4" t="s">
        <v>368</v>
      </c>
      <c r="G52" s="4" t="s">
        <v>369</v>
      </c>
      <c r="H52" s="4" t="s">
        <v>370</v>
      </c>
      <c r="I52" s="4" t="s">
        <v>371</v>
      </c>
      <c r="J52" s="4" t="s">
        <v>372</v>
      </c>
      <c r="K52" s="4" t="s">
        <v>17</v>
      </c>
      <c r="L52" s="4" t="s">
        <v>373</v>
      </c>
    </row>
    <row r="53" spans="1:12" ht="92" x14ac:dyDescent="0.35">
      <c r="A53" s="4" t="s">
        <v>305</v>
      </c>
      <c r="B53" s="4" t="s">
        <v>318</v>
      </c>
      <c r="C53" s="4">
        <v>2024</v>
      </c>
      <c r="D53" s="4" t="s">
        <v>374</v>
      </c>
      <c r="E53" s="4" t="s">
        <v>98</v>
      </c>
      <c r="F53" s="4" t="s">
        <v>375</v>
      </c>
      <c r="G53" s="4" t="s">
        <v>376</v>
      </c>
      <c r="H53" s="4" t="s">
        <v>377</v>
      </c>
      <c r="I53" s="4" t="s">
        <v>378</v>
      </c>
      <c r="J53" s="4" t="s">
        <v>379</v>
      </c>
      <c r="K53" s="4" t="s">
        <v>17</v>
      </c>
      <c r="L53" s="4" t="s">
        <v>380</v>
      </c>
    </row>
    <row r="54" spans="1:12" ht="34.5" x14ac:dyDescent="0.35">
      <c r="A54" s="4" t="s">
        <v>305</v>
      </c>
      <c r="B54" s="4" t="s">
        <v>306</v>
      </c>
      <c r="C54" s="4">
        <v>2024</v>
      </c>
      <c r="D54" s="4" t="s">
        <v>381</v>
      </c>
      <c r="E54" s="4" t="s">
        <v>107</v>
      </c>
      <c r="F54" s="4" t="s">
        <v>382</v>
      </c>
      <c r="G54" s="4">
        <v>4</v>
      </c>
      <c r="H54" s="4">
        <v>6</v>
      </c>
      <c r="I54" s="4">
        <v>8</v>
      </c>
      <c r="J54" s="4">
        <v>12</v>
      </c>
      <c r="K54" s="4" t="s">
        <v>26</v>
      </c>
      <c r="L54" s="4" t="s">
        <v>383</v>
      </c>
    </row>
    <row r="55" spans="1:12" ht="92" x14ac:dyDescent="0.35">
      <c r="A55" s="4" t="s">
        <v>305</v>
      </c>
      <c r="B55" s="4" t="s">
        <v>310</v>
      </c>
      <c r="C55" s="4">
        <v>2024</v>
      </c>
      <c r="D55" s="4" t="s">
        <v>384</v>
      </c>
      <c r="E55" s="4" t="s">
        <v>115</v>
      </c>
      <c r="F55" s="4" t="s">
        <v>385</v>
      </c>
      <c r="G55" s="4" t="s">
        <v>386</v>
      </c>
      <c r="H55" s="4" t="s">
        <v>387</v>
      </c>
      <c r="I55" s="4" t="s">
        <v>388</v>
      </c>
      <c r="J55" s="4" t="s">
        <v>389</v>
      </c>
      <c r="K55" s="4" t="s">
        <v>17</v>
      </c>
      <c r="L55" s="4" t="s">
        <v>390</v>
      </c>
    </row>
    <row r="56" spans="1:12" ht="69" x14ac:dyDescent="0.35">
      <c r="A56" s="4" t="s">
        <v>305</v>
      </c>
      <c r="B56" s="4" t="s">
        <v>318</v>
      </c>
      <c r="C56" s="4">
        <v>2024</v>
      </c>
      <c r="D56" s="4" t="s">
        <v>391</v>
      </c>
      <c r="E56" s="4" t="s">
        <v>123</v>
      </c>
      <c r="F56" s="4" t="s">
        <v>392</v>
      </c>
      <c r="G56" s="4">
        <v>17</v>
      </c>
      <c r="H56" s="4">
        <v>20</v>
      </c>
      <c r="I56" s="4">
        <v>37</v>
      </c>
      <c r="J56" s="4">
        <v>54</v>
      </c>
      <c r="K56" s="4" t="s">
        <v>26</v>
      </c>
      <c r="L56" s="4" t="s">
        <v>393</v>
      </c>
    </row>
    <row r="57" spans="1:12" ht="46" x14ac:dyDescent="0.35">
      <c r="A57" s="4" t="s">
        <v>305</v>
      </c>
      <c r="B57" s="4" t="s">
        <v>306</v>
      </c>
      <c r="C57" s="4">
        <v>2024</v>
      </c>
      <c r="D57" s="4" t="s">
        <v>394</v>
      </c>
      <c r="E57" s="4" t="s">
        <v>131</v>
      </c>
      <c r="F57" s="4" t="s">
        <v>395</v>
      </c>
      <c r="G57" s="4" t="s">
        <v>396</v>
      </c>
      <c r="H57" s="4" t="s">
        <v>397</v>
      </c>
      <c r="I57" s="4" t="s">
        <v>398</v>
      </c>
      <c r="J57" s="4" t="s">
        <v>399</v>
      </c>
      <c r="K57" s="4" t="s">
        <v>17</v>
      </c>
      <c r="L57" s="4" t="s">
        <v>400</v>
      </c>
    </row>
    <row r="58" spans="1:12" ht="46" x14ac:dyDescent="0.35">
      <c r="A58" s="4" t="s">
        <v>305</v>
      </c>
      <c r="B58" s="4" t="s">
        <v>310</v>
      </c>
      <c r="C58" s="4">
        <v>2024</v>
      </c>
      <c r="D58" s="4" t="s">
        <v>401</v>
      </c>
      <c r="E58" s="4" t="s">
        <v>139</v>
      </c>
      <c r="F58" s="4" t="s">
        <v>402</v>
      </c>
      <c r="G58" s="4" t="s">
        <v>403</v>
      </c>
      <c r="H58" s="4" t="s">
        <v>404</v>
      </c>
      <c r="I58" s="4" t="s">
        <v>405</v>
      </c>
      <c r="J58" s="4" t="s">
        <v>406</v>
      </c>
      <c r="K58" s="4" t="s">
        <v>17</v>
      </c>
      <c r="L58" s="4" t="s">
        <v>407</v>
      </c>
    </row>
    <row r="59" spans="1:12" ht="57.5" x14ac:dyDescent="0.35">
      <c r="A59" s="4" t="s">
        <v>305</v>
      </c>
      <c r="B59" s="4" t="s">
        <v>318</v>
      </c>
      <c r="C59" s="4">
        <v>2024</v>
      </c>
      <c r="D59" s="4" t="s">
        <v>408</v>
      </c>
      <c r="E59" s="4" t="s">
        <v>147</v>
      </c>
      <c r="F59" s="4" t="s">
        <v>409</v>
      </c>
      <c r="G59" s="4" t="s">
        <v>410</v>
      </c>
      <c r="H59" s="4" t="s">
        <v>411</v>
      </c>
      <c r="I59" s="4" t="s">
        <v>412</v>
      </c>
      <c r="J59" s="4" t="s">
        <v>413</v>
      </c>
      <c r="K59" s="4" t="s">
        <v>26</v>
      </c>
      <c r="L59" s="4" t="s">
        <v>414</v>
      </c>
    </row>
    <row r="60" spans="1:12" ht="69" x14ac:dyDescent="0.35">
      <c r="A60" s="4" t="s">
        <v>305</v>
      </c>
      <c r="B60" s="4" t="s">
        <v>306</v>
      </c>
      <c r="C60" s="4">
        <v>2024</v>
      </c>
      <c r="D60" s="4" t="s">
        <v>415</v>
      </c>
      <c r="E60" s="4" t="s">
        <v>156</v>
      </c>
      <c r="F60" s="4" t="s">
        <v>416</v>
      </c>
      <c r="G60" s="4">
        <v>11</v>
      </c>
      <c r="H60" s="4">
        <v>13</v>
      </c>
      <c r="I60" s="4">
        <v>15</v>
      </c>
      <c r="J60" s="4">
        <v>17</v>
      </c>
      <c r="K60" s="4" t="s">
        <v>153</v>
      </c>
      <c r="L60" s="4" t="s">
        <v>417</v>
      </c>
    </row>
    <row r="61" spans="1:12" ht="92" x14ac:dyDescent="0.35">
      <c r="A61" s="4" t="s">
        <v>305</v>
      </c>
      <c r="B61" s="4" t="s">
        <v>310</v>
      </c>
      <c r="C61" s="4">
        <v>2024</v>
      </c>
      <c r="D61" s="4" t="s">
        <v>418</v>
      </c>
      <c r="E61" s="4" t="s">
        <v>163</v>
      </c>
      <c r="F61" s="4" t="s">
        <v>419</v>
      </c>
      <c r="G61" s="4" t="s">
        <v>420</v>
      </c>
      <c r="H61" s="4" t="s">
        <v>421</v>
      </c>
      <c r="I61" s="4" t="s">
        <v>422</v>
      </c>
      <c r="J61" s="4" t="s">
        <v>423</v>
      </c>
      <c r="K61" s="4" t="s">
        <v>26</v>
      </c>
      <c r="L61" s="4" t="s">
        <v>424</v>
      </c>
    </row>
    <row r="62" spans="1:12" ht="46" x14ac:dyDescent="0.35">
      <c r="A62" s="4" t="s">
        <v>305</v>
      </c>
      <c r="B62" s="4" t="s">
        <v>306</v>
      </c>
      <c r="C62" s="4">
        <v>2024</v>
      </c>
      <c r="D62" s="4" t="s">
        <v>425</v>
      </c>
      <c r="E62" s="4" t="s">
        <v>171</v>
      </c>
      <c r="F62" s="4" t="s">
        <v>426</v>
      </c>
      <c r="G62" s="4" t="s">
        <v>427</v>
      </c>
      <c r="H62" s="4" t="s">
        <v>428</v>
      </c>
      <c r="I62" s="4" t="s">
        <v>429</v>
      </c>
      <c r="J62" s="4" t="s">
        <v>430</v>
      </c>
      <c r="K62" s="4" t="s">
        <v>17</v>
      </c>
      <c r="L62" s="4" t="s">
        <v>431</v>
      </c>
    </row>
    <row r="63" spans="1:12" ht="92" x14ac:dyDescent="0.35">
      <c r="A63" s="4" t="s">
        <v>305</v>
      </c>
      <c r="B63" s="4" t="s">
        <v>310</v>
      </c>
      <c r="C63" s="4">
        <v>2024</v>
      </c>
      <c r="D63" s="4" t="s">
        <v>432</v>
      </c>
      <c r="E63" s="4" t="s">
        <v>179</v>
      </c>
      <c r="F63" s="4" t="s">
        <v>433</v>
      </c>
      <c r="G63" s="4" t="s">
        <v>434</v>
      </c>
      <c r="H63" s="4" t="s">
        <v>435</v>
      </c>
      <c r="I63" s="4" t="s">
        <v>436</v>
      </c>
      <c r="J63" s="4" t="s">
        <v>437</v>
      </c>
      <c r="K63" s="4" t="s">
        <v>153</v>
      </c>
      <c r="L63" s="4" t="s">
        <v>438</v>
      </c>
    </row>
    <row r="64" spans="1:12" ht="57.5" x14ac:dyDescent="0.35">
      <c r="A64" s="4" t="s">
        <v>305</v>
      </c>
      <c r="B64" s="4" t="s">
        <v>318</v>
      </c>
      <c r="C64" s="4">
        <v>2024</v>
      </c>
      <c r="D64" s="4" t="s">
        <v>439</v>
      </c>
      <c r="E64" s="4" t="s">
        <v>186</v>
      </c>
      <c r="F64" s="4" t="s">
        <v>440</v>
      </c>
      <c r="G64" s="4" t="s">
        <v>441</v>
      </c>
      <c r="H64" s="4" t="s">
        <v>442</v>
      </c>
      <c r="I64" s="4" t="s">
        <v>443</v>
      </c>
      <c r="J64" s="4" t="s">
        <v>444</v>
      </c>
      <c r="K64" s="4" t="s">
        <v>26</v>
      </c>
      <c r="L64" s="4" t="s">
        <v>445</v>
      </c>
    </row>
    <row r="65" spans="1:12" ht="34.5" x14ac:dyDescent="0.35">
      <c r="A65" s="4" t="s">
        <v>305</v>
      </c>
      <c r="B65" s="4" t="s">
        <v>306</v>
      </c>
      <c r="C65" s="4">
        <v>2024</v>
      </c>
      <c r="D65" s="4" t="s">
        <v>446</v>
      </c>
      <c r="E65" s="4" t="s">
        <v>190</v>
      </c>
      <c r="F65" s="4" t="s">
        <v>447</v>
      </c>
      <c r="G65" s="4">
        <v>3</v>
      </c>
      <c r="H65" s="4">
        <v>1</v>
      </c>
      <c r="I65" s="4">
        <v>0</v>
      </c>
      <c r="J65" s="4" t="s">
        <v>448</v>
      </c>
      <c r="K65" s="4" t="s">
        <v>17</v>
      </c>
      <c r="L65" s="4" t="s">
        <v>449</v>
      </c>
    </row>
    <row r="66" spans="1:12" ht="80.5" x14ac:dyDescent="0.35">
      <c r="A66" s="4" t="s">
        <v>305</v>
      </c>
      <c r="B66" s="4" t="s">
        <v>310</v>
      </c>
      <c r="C66" s="4">
        <v>2024</v>
      </c>
      <c r="D66" s="4" t="s">
        <v>450</v>
      </c>
      <c r="E66" s="4" t="s">
        <v>198</v>
      </c>
      <c r="F66" s="4" t="s">
        <v>451</v>
      </c>
      <c r="G66" s="4" t="s">
        <v>452</v>
      </c>
      <c r="H66" s="4" t="s">
        <v>453</v>
      </c>
      <c r="I66" s="4" t="s">
        <v>454</v>
      </c>
      <c r="J66" s="4" t="s">
        <v>455</v>
      </c>
      <c r="K66" s="4" t="s">
        <v>17</v>
      </c>
      <c r="L66" s="4" t="s">
        <v>456</v>
      </c>
    </row>
    <row r="67" spans="1:12" ht="46" x14ac:dyDescent="0.35">
      <c r="A67" s="4" t="s">
        <v>305</v>
      </c>
      <c r="B67" s="4" t="s">
        <v>318</v>
      </c>
      <c r="C67" s="4">
        <v>2024</v>
      </c>
      <c r="D67" s="4" t="s">
        <v>457</v>
      </c>
      <c r="E67" s="4" t="s">
        <v>206</v>
      </c>
      <c r="F67" s="4" t="s">
        <v>458</v>
      </c>
      <c r="G67" s="4" t="s">
        <v>459</v>
      </c>
      <c r="H67" s="4" t="s">
        <v>460</v>
      </c>
      <c r="I67" s="4" t="s">
        <v>461</v>
      </c>
      <c r="J67" s="4" t="s">
        <v>462</v>
      </c>
      <c r="K67" s="4" t="s">
        <v>153</v>
      </c>
      <c r="L67" s="4" t="s">
        <v>463</v>
      </c>
    </row>
    <row r="68" spans="1:12" ht="34.5" x14ac:dyDescent="0.35">
      <c r="A68" s="4" t="s">
        <v>305</v>
      </c>
      <c r="B68" s="4" t="s">
        <v>306</v>
      </c>
      <c r="C68" s="4">
        <v>2024</v>
      </c>
      <c r="D68" s="4" t="s">
        <v>464</v>
      </c>
      <c r="E68" s="4" t="s">
        <v>214</v>
      </c>
      <c r="F68" s="4" t="s">
        <v>465</v>
      </c>
      <c r="G68" s="4" t="s">
        <v>466</v>
      </c>
      <c r="H68" s="4" t="s">
        <v>467</v>
      </c>
      <c r="I68" s="4" t="s">
        <v>468</v>
      </c>
      <c r="J68" s="4" t="s">
        <v>469</v>
      </c>
      <c r="K68" s="4" t="s">
        <v>17</v>
      </c>
      <c r="L68" s="4" t="s">
        <v>470</v>
      </c>
    </row>
    <row r="69" spans="1:12" ht="115" x14ac:dyDescent="0.35">
      <c r="A69" s="4" t="s">
        <v>305</v>
      </c>
      <c r="B69" s="4" t="s">
        <v>310</v>
      </c>
      <c r="C69" s="4">
        <v>2024</v>
      </c>
      <c r="D69" s="4" t="s">
        <v>471</v>
      </c>
      <c r="E69" s="4" t="s">
        <v>222</v>
      </c>
      <c r="F69" s="4" t="s">
        <v>472</v>
      </c>
      <c r="G69" s="4" t="s">
        <v>473</v>
      </c>
      <c r="H69" s="4" t="s">
        <v>474</v>
      </c>
      <c r="I69" s="4" t="s">
        <v>475</v>
      </c>
      <c r="J69" s="4" t="s">
        <v>476</v>
      </c>
      <c r="K69" s="4" t="s">
        <v>17</v>
      </c>
      <c r="L69" s="4" t="s">
        <v>477</v>
      </c>
    </row>
    <row r="70" spans="1:12" ht="34.5" x14ac:dyDescent="0.35">
      <c r="A70" s="4" t="s">
        <v>305</v>
      </c>
      <c r="B70" s="4" t="s">
        <v>318</v>
      </c>
      <c r="C70" s="4">
        <v>2024</v>
      </c>
      <c r="D70" s="4" t="s">
        <v>478</v>
      </c>
      <c r="E70" s="4" t="s">
        <v>229</v>
      </c>
      <c r="F70" s="4" t="s">
        <v>479</v>
      </c>
      <c r="G70" s="4" t="s">
        <v>480</v>
      </c>
      <c r="H70" s="4" t="s">
        <v>481</v>
      </c>
      <c r="I70" s="4" t="s">
        <v>482</v>
      </c>
      <c r="J70" s="4" t="s">
        <v>483</v>
      </c>
      <c r="K70" s="4" t="s">
        <v>17</v>
      </c>
      <c r="L70" s="4" t="s">
        <v>484</v>
      </c>
    </row>
    <row r="71" spans="1:12" ht="46" x14ac:dyDescent="0.35">
      <c r="A71" s="4" t="s">
        <v>305</v>
      </c>
      <c r="B71" s="4" t="s">
        <v>306</v>
      </c>
      <c r="C71" s="4">
        <v>2024</v>
      </c>
      <c r="D71" s="4" t="s">
        <v>485</v>
      </c>
      <c r="E71" s="4" t="s">
        <v>237</v>
      </c>
      <c r="F71" s="4" t="s">
        <v>486</v>
      </c>
      <c r="G71" s="4">
        <v>0</v>
      </c>
      <c r="H71" s="4">
        <v>1</v>
      </c>
      <c r="I71" s="4" t="s">
        <v>487</v>
      </c>
      <c r="J71" s="4">
        <v>-1</v>
      </c>
      <c r="K71" s="4" t="s">
        <v>26</v>
      </c>
      <c r="L71" s="4" t="s">
        <v>488</v>
      </c>
    </row>
    <row r="72" spans="1:12" ht="46" x14ac:dyDescent="0.35">
      <c r="A72" s="4" t="s">
        <v>305</v>
      </c>
      <c r="B72" s="4" t="s">
        <v>310</v>
      </c>
      <c r="C72" s="4">
        <v>2024</v>
      </c>
      <c r="D72" s="4" t="s">
        <v>489</v>
      </c>
      <c r="E72" s="4" t="s">
        <v>241</v>
      </c>
      <c r="F72" s="4" t="s">
        <v>490</v>
      </c>
      <c r="G72" s="4" t="s">
        <v>491</v>
      </c>
      <c r="H72" s="4" t="s">
        <v>492</v>
      </c>
      <c r="I72" s="4" t="s">
        <v>493</v>
      </c>
      <c r="J72" s="4" t="s">
        <v>246</v>
      </c>
      <c r="K72" s="4" t="s">
        <v>104</v>
      </c>
      <c r="L72" s="4" t="s">
        <v>494</v>
      </c>
    </row>
    <row r="73" spans="1:12" ht="69" x14ac:dyDescent="0.35">
      <c r="A73" s="4" t="s">
        <v>305</v>
      </c>
      <c r="B73" s="4" t="s">
        <v>318</v>
      </c>
      <c r="C73" s="4">
        <v>2024</v>
      </c>
      <c r="D73" s="4" t="s">
        <v>495</v>
      </c>
      <c r="E73" s="4" t="s">
        <v>249</v>
      </c>
      <c r="F73" s="4" t="s">
        <v>496</v>
      </c>
      <c r="G73" s="4" t="s">
        <v>497</v>
      </c>
      <c r="H73" s="4" t="s">
        <v>498</v>
      </c>
      <c r="I73" s="4" t="s">
        <v>499</v>
      </c>
      <c r="J73" s="4" t="s">
        <v>500</v>
      </c>
      <c r="K73" s="4" t="s">
        <v>17</v>
      </c>
      <c r="L73" s="4" t="s">
        <v>501</v>
      </c>
    </row>
    <row r="74" spans="1:12" ht="57.5" x14ac:dyDescent="0.35">
      <c r="A74" s="4" t="s">
        <v>305</v>
      </c>
      <c r="B74" s="4" t="s">
        <v>306</v>
      </c>
      <c r="C74" s="4">
        <v>2024</v>
      </c>
      <c r="D74" s="4" t="s">
        <v>502</v>
      </c>
      <c r="E74" s="4" t="s">
        <v>257</v>
      </c>
      <c r="F74" s="4" t="s">
        <v>503</v>
      </c>
      <c r="G74" s="4" t="s">
        <v>504</v>
      </c>
      <c r="H74" s="4" t="s">
        <v>505</v>
      </c>
      <c r="I74" s="4" t="s">
        <v>506</v>
      </c>
      <c r="J74" s="4" t="s">
        <v>507</v>
      </c>
      <c r="K74" s="4" t="s">
        <v>17</v>
      </c>
      <c r="L74" s="4" t="s">
        <v>508</v>
      </c>
    </row>
    <row r="75" spans="1:12" ht="103.5" x14ac:dyDescent="0.35">
      <c r="A75" s="4" t="s">
        <v>305</v>
      </c>
      <c r="B75" s="4" t="s">
        <v>310</v>
      </c>
      <c r="C75" s="4">
        <v>2024</v>
      </c>
      <c r="D75" s="4" t="s">
        <v>509</v>
      </c>
      <c r="E75" s="4" t="s">
        <v>261</v>
      </c>
      <c r="F75" s="4" t="s">
        <v>510</v>
      </c>
      <c r="G75" s="4" t="s">
        <v>511</v>
      </c>
      <c r="H75" s="4" t="s">
        <v>512</v>
      </c>
      <c r="I75" s="4" t="s">
        <v>513</v>
      </c>
      <c r="J75" s="4" t="s">
        <v>514</v>
      </c>
      <c r="K75" s="4" t="s">
        <v>17</v>
      </c>
      <c r="L75" s="4" t="s">
        <v>515</v>
      </c>
    </row>
    <row r="76" spans="1:12" ht="46" x14ac:dyDescent="0.35">
      <c r="A76" s="4" t="s">
        <v>305</v>
      </c>
      <c r="B76" s="4" t="s">
        <v>318</v>
      </c>
      <c r="C76" s="4">
        <v>2024</v>
      </c>
      <c r="D76" s="4" t="s">
        <v>516</v>
      </c>
      <c r="E76" s="4" t="s">
        <v>268</v>
      </c>
      <c r="F76" s="4" t="s">
        <v>517</v>
      </c>
      <c r="G76" s="4" t="s">
        <v>518</v>
      </c>
      <c r="H76" s="4" t="s">
        <v>519</v>
      </c>
      <c r="I76" s="4" t="s">
        <v>520</v>
      </c>
      <c r="J76" s="4" t="s">
        <v>521</v>
      </c>
      <c r="K76" s="4" t="s">
        <v>17</v>
      </c>
      <c r="L76" s="4" t="s">
        <v>522</v>
      </c>
    </row>
    <row r="77" spans="1:12" ht="34.5" x14ac:dyDescent="0.35">
      <c r="A77" s="4" t="s">
        <v>305</v>
      </c>
      <c r="B77" s="4" t="s">
        <v>306</v>
      </c>
      <c r="C77" s="4">
        <v>2024</v>
      </c>
      <c r="D77" s="4" t="s">
        <v>523</v>
      </c>
      <c r="E77" s="4" t="s">
        <v>276</v>
      </c>
      <c r="F77" s="4" t="s">
        <v>524</v>
      </c>
      <c r="G77" s="4">
        <v>6</v>
      </c>
      <c r="H77" s="4">
        <v>8</v>
      </c>
      <c r="I77" s="4">
        <v>2</v>
      </c>
      <c r="J77" s="4">
        <v>10</v>
      </c>
      <c r="K77" s="4" t="s">
        <v>26</v>
      </c>
      <c r="L77" s="4" t="s">
        <v>525</v>
      </c>
    </row>
    <row r="78" spans="1:12" ht="69" x14ac:dyDescent="0.35">
      <c r="A78" s="4" t="s">
        <v>305</v>
      </c>
      <c r="B78" s="4" t="s">
        <v>310</v>
      </c>
      <c r="C78" s="4">
        <v>2024</v>
      </c>
      <c r="D78" s="4" t="s">
        <v>526</v>
      </c>
      <c r="E78" s="4" t="s">
        <v>280</v>
      </c>
      <c r="F78" s="4" t="s">
        <v>527</v>
      </c>
      <c r="G78" s="4" t="s">
        <v>528</v>
      </c>
      <c r="H78" s="4" t="s">
        <v>529</v>
      </c>
      <c r="I78" s="4" t="s">
        <v>530</v>
      </c>
      <c r="J78" s="4" t="s">
        <v>531</v>
      </c>
      <c r="K78" s="4" t="s">
        <v>26</v>
      </c>
      <c r="L78" s="4" t="s">
        <v>532</v>
      </c>
    </row>
    <row r="79" spans="1:12" ht="57.5" x14ac:dyDescent="0.35">
      <c r="A79" s="4" t="s">
        <v>305</v>
      </c>
      <c r="B79" s="4" t="s">
        <v>318</v>
      </c>
      <c r="C79" s="4">
        <v>2024</v>
      </c>
      <c r="D79" s="4" t="s">
        <v>533</v>
      </c>
      <c r="E79" s="4" t="s">
        <v>288</v>
      </c>
      <c r="F79" s="4" t="s">
        <v>534</v>
      </c>
      <c r="G79" s="4" t="s">
        <v>535</v>
      </c>
      <c r="H79" s="4" t="s">
        <v>536</v>
      </c>
      <c r="I79" s="4" t="s">
        <v>537</v>
      </c>
      <c r="J79" s="4" t="s">
        <v>538</v>
      </c>
      <c r="K79" s="4" t="s">
        <v>17</v>
      </c>
      <c r="L79" s="4" t="s">
        <v>539</v>
      </c>
    </row>
    <row r="80" spans="1:12" ht="34.5" x14ac:dyDescent="0.35">
      <c r="A80" s="4" t="s">
        <v>305</v>
      </c>
      <c r="B80" s="4" t="s">
        <v>306</v>
      </c>
      <c r="C80" s="4">
        <v>2024</v>
      </c>
      <c r="D80" s="4" t="s">
        <v>540</v>
      </c>
      <c r="E80" s="4" t="s">
        <v>292</v>
      </c>
      <c r="F80" s="4" t="s">
        <v>541</v>
      </c>
      <c r="G80" s="4" t="s">
        <v>542</v>
      </c>
      <c r="H80" s="4" t="s">
        <v>543</v>
      </c>
      <c r="I80" s="4" t="s">
        <v>544</v>
      </c>
      <c r="J80" s="4" t="s">
        <v>545</v>
      </c>
      <c r="K80" s="4" t="s">
        <v>17</v>
      </c>
      <c r="L80" s="4" t="s">
        <v>546</v>
      </c>
    </row>
    <row r="81" spans="1:14" ht="57.5" x14ac:dyDescent="0.35">
      <c r="A81" s="4" t="s">
        <v>305</v>
      </c>
      <c r="B81" s="4" t="s">
        <v>310</v>
      </c>
      <c r="C81" s="4">
        <v>2024</v>
      </c>
      <c r="D81" s="4" t="s">
        <v>547</v>
      </c>
      <c r="E81" s="4" t="s">
        <v>299</v>
      </c>
      <c r="F81" s="4" t="s">
        <v>548</v>
      </c>
      <c r="G81" s="4" t="s">
        <v>549</v>
      </c>
      <c r="H81" s="4" t="s">
        <v>550</v>
      </c>
      <c r="I81" s="4" t="s">
        <v>551</v>
      </c>
      <c r="J81" s="4" t="s">
        <v>552</v>
      </c>
      <c r="K81" s="4" t="s">
        <v>17</v>
      </c>
      <c r="L81" s="4" t="s">
        <v>553</v>
      </c>
    </row>
    <row r="82" spans="1:14" ht="46" x14ac:dyDescent="0.35">
      <c r="A82" s="4" t="s">
        <v>554</v>
      </c>
      <c r="B82" s="4" t="s">
        <v>306</v>
      </c>
      <c r="C82" s="4">
        <v>2024</v>
      </c>
      <c r="D82" s="4" t="s">
        <v>555</v>
      </c>
      <c r="E82" s="4" t="s">
        <v>15</v>
      </c>
      <c r="F82" s="4" t="s">
        <v>556</v>
      </c>
      <c r="G82" s="4" t="s">
        <v>557</v>
      </c>
      <c r="H82" s="4" t="s">
        <v>558</v>
      </c>
      <c r="I82" s="4" t="s">
        <v>559</v>
      </c>
      <c r="J82" s="4" t="s">
        <v>507</v>
      </c>
      <c r="K82" s="4" t="s">
        <v>17</v>
      </c>
      <c r="L82" s="4" t="s">
        <v>560</v>
      </c>
      <c r="M82" s="1"/>
      <c r="N82" s="1"/>
    </row>
    <row r="83" spans="1:14" ht="103.5" x14ac:dyDescent="0.35">
      <c r="A83" s="4" t="s">
        <v>554</v>
      </c>
      <c r="B83" s="4" t="s">
        <v>310</v>
      </c>
      <c r="C83" s="4">
        <v>2024</v>
      </c>
      <c r="D83" s="4" t="s">
        <v>561</v>
      </c>
      <c r="E83" s="4" t="s">
        <v>21</v>
      </c>
      <c r="F83" s="4" t="s">
        <v>562</v>
      </c>
      <c r="G83" s="4" t="s">
        <v>563</v>
      </c>
      <c r="H83" s="4" t="s">
        <v>564</v>
      </c>
      <c r="I83" s="4" t="s">
        <v>565</v>
      </c>
      <c r="J83" s="4" t="s">
        <v>566</v>
      </c>
      <c r="K83" s="4" t="s">
        <v>17</v>
      </c>
      <c r="L83" s="4" t="s">
        <v>567</v>
      </c>
      <c r="M83" s="1"/>
      <c r="N83" s="1"/>
    </row>
    <row r="84" spans="1:14" ht="92" x14ac:dyDescent="0.35">
      <c r="A84" s="4" t="s">
        <v>554</v>
      </c>
      <c r="B84" s="4" t="s">
        <v>318</v>
      </c>
      <c r="C84" s="4">
        <v>2024</v>
      </c>
      <c r="D84" s="4" t="s">
        <v>568</v>
      </c>
      <c r="E84" s="4" t="s">
        <v>30</v>
      </c>
      <c r="F84" s="4" t="s">
        <v>569</v>
      </c>
      <c r="G84" s="4" t="s">
        <v>570</v>
      </c>
      <c r="H84" s="4" t="s">
        <v>571</v>
      </c>
      <c r="I84" s="4" t="s">
        <v>572</v>
      </c>
      <c r="J84" s="4" t="s">
        <v>573</v>
      </c>
      <c r="K84" s="4" t="s">
        <v>26</v>
      </c>
      <c r="L84" s="4" t="s">
        <v>574</v>
      </c>
      <c r="M84" s="1"/>
      <c r="N84" s="1"/>
    </row>
    <row r="85" spans="1:14" ht="57.5" x14ac:dyDescent="0.35">
      <c r="A85" s="4" t="s">
        <v>554</v>
      </c>
      <c r="B85" s="4" t="s">
        <v>306</v>
      </c>
      <c r="C85" s="4">
        <v>2024</v>
      </c>
      <c r="D85" s="4" t="s">
        <v>575</v>
      </c>
      <c r="E85" s="4" t="s">
        <v>38</v>
      </c>
      <c r="F85" s="4" t="s">
        <v>576</v>
      </c>
      <c r="G85" s="4" t="s">
        <v>577</v>
      </c>
      <c r="H85" s="4" t="s">
        <v>578</v>
      </c>
      <c r="I85" s="4" t="s">
        <v>579</v>
      </c>
      <c r="J85" s="4" t="s">
        <v>580</v>
      </c>
      <c r="K85" s="4" t="s">
        <v>26</v>
      </c>
      <c r="L85" s="4" t="s">
        <v>581</v>
      </c>
      <c r="M85" s="1"/>
      <c r="N85" s="1"/>
    </row>
    <row r="86" spans="1:14" ht="92" x14ac:dyDescent="0.35">
      <c r="A86" s="4" t="s">
        <v>554</v>
      </c>
      <c r="B86" s="4" t="s">
        <v>310</v>
      </c>
      <c r="C86" s="4">
        <v>2024</v>
      </c>
      <c r="D86" s="4" t="s">
        <v>582</v>
      </c>
      <c r="E86" s="4" t="s">
        <v>42</v>
      </c>
      <c r="F86" s="4" t="s">
        <v>583</v>
      </c>
      <c r="G86" s="4" t="s">
        <v>584</v>
      </c>
      <c r="H86" s="4" t="s">
        <v>585</v>
      </c>
      <c r="I86" s="4" t="s">
        <v>586</v>
      </c>
      <c r="J86" s="4" t="s">
        <v>587</v>
      </c>
      <c r="K86" s="4" t="s">
        <v>17</v>
      </c>
      <c r="L86" s="4" t="s">
        <v>588</v>
      </c>
      <c r="M86" s="1"/>
      <c r="N86" s="1"/>
    </row>
    <row r="87" spans="1:14" ht="34.5" x14ac:dyDescent="0.35">
      <c r="A87" s="4" t="s">
        <v>554</v>
      </c>
      <c r="B87" s="4" t="s">
        <v>318</v>
      </c>
      <c r="C87" s="4">
        <v>2024</v>
      </c>
      <c r="D87" s="4" t="s">
        <v>589</v>
      </c>
      <c r="E87" s="4" t="s">
        <v>50</v>
      </c>
      <c r="F87" s="4" t="s">
        <v>590</v>
      </c>
      <c r="G87" s="4" t="s">
        <v>591</v>
      </c>
      <c r="H87" s="4" t="s">
        <v>592</v>
      </c>
      <c r="I87" s="4" t="s">
        <v>593</v>
      </c>
      <c r="J87" s="4" t="s">
        <v>594</v>
      </c>
      <c r="K87" s="4" t="s">
        <v>26</v>
      </c>
      <c r="L87" s="4" t="s">
        <v>595</v>
      </c>
      <c r="M87" s="1"/>
      <c r="N87" s="1"/>
    </row>
    <row r="88" spans="1:14" ht="46" x14ac:dyDescent="0.35">
      <c r="A88" s="4" t="s">
        <v>554</v>
      </c>
      <c r="B88" s="4" t="s">
        <v>306</v>
      </c>
      <c r="C88" s="4">
        <v>2024</v>
      </c>
      <c r="D88" s="4" t="s">
        <v>596</v>
      </c>
      <c r="E88" s="4" t="s">
        <v>58</v>
      </c>
      <c r="F88" s="4" t="s">
        <v>597</v>
      </c>
      <c r="G88" s="4" t="s">
        <v>598</v>
      </c>
      <c r="H88" s="4" t="s">
        <v>599</v>
      </c>
      <c r="I88" s="4" t="s">
        <v>600</v>
      </c>
      <c r="J88" s="4" t="s">
        <v>601</v>
      </c>
      <c r="K88" s="4" t="s">
        <v>17</v>
      </c>
      <c r="L88" s="4" t="s">
        <v>602</v>
      </c>
      <c r="M88" s="1"/>
      <c r="N88" s="1"/>
    </row>
    <row r="89" spans="1:14" ht="69" x14ac:dyDescent="0.35">
      <c r="A89" s="4" t="s">
        <v>554</v>
      </c>
      <c r="B89" s="4" t="s">
        <v>310</v>
      </c>
      <c r="C89" s="4">
        <v>2024</v>
      </c>
      <c r="D89" s="4" t="s">
        <v>603</v>
      </c>
      <c r="E89" s="4" t="s">
        <v>66</v>
      </c>
      <c r="F89" s="4" t="s">
        <v>604</v>
      </c>
      <c r="G89" s="4" t="s">
        <v>605</v>
      </c>
      <c r="H89" s="4" t="s">
        <v>606</v>
      </c>
      <c r="I89" s="4" t="s">
        <v>607</v>
      </c>
      <c r="J89" s="4" t="s">
        <v>608</v>
      </c>
      <c r="K89" s="4" t="s">
        <v>17</v>
      </c>
      <c r="L89" s="4" t="s">
        <v>609</v>
      </c>
      <c r="M89" s="1"/>
      <c r="N89" s="1"/>
    </row>
    <row r="90" spans="1:14" ht="57.5" x14ac:dyDescent="0.35">
      <c r="A90" s="4" t="s">
        <v>554</v>
      </c>
      <c r="B90" s="4" t="s">
        <v>318</v>
      </c>
      <c r="C90" s="4">
        <v>2024</v>
      </c>
      <c r="D90" s="4" t="s">
        <v>610</v>
      </c>
      <c r="E90" s="4" t="s">
        <v>74</v>
      </c>
      <c r="F90" s="4" t="s">
        <v>611</v>
      </c>
      <c r="G90" s="4" t="s">
        <v>612</v>
      </c>
      <c r="H90" s="4" t="s">
        <v>460</v>
      </c>
      <c r="I90" s="4" t="s">
        <v>613</v>
      </c>
      <c r="J90" s="4" t="s">
        <v>614</v>
      </c>
      <c r="K90" s="4" t="s">
        <v>153</v>
      </c>
      <c r="L90" s="4" t="s">
        <v>615</v>
      </c>
      <c r="M90" s="1"/>
      <c r="N90" s="1"/>
    </row>
    <row r="91" spans="1:14" ht="57.5" x14ac:dyDescent="0.35">
      <c r="A91" s="4" t="s">
        <v>554</v>
      </c>
      <c r="B91" s="4" t="s">
        <v>306</v>
      </c>
      <c r="C91" s="4">
        <v>2024</v>
      </c>
      <c r="D91" s="4" t="s">
        <v>616</v>
      </c>
      <c r="E91" s="4" t="s">
        <v>82</v>
      </c>
      <c r="F91" s="4" t="s">
        <v>617</v>
      </c>
      <c r="G91" s="4">
        <v>-10</v>
      </c>
      <c r="H91" s="4">
        <v>10</v>
      </c>
      <c r="I91" s="4">
        <v>-2</v>
      </c>
      <c r="J91" s="4">
        <v>2</v>
      </c>
      <c r="K91" s="4" t="s">
        <v>17</v>
      </c>
      <c r="L91" s="4" t="s">
        <v>618</v>
      </c>
      <c r="M91" s="1"/>
      <c r="N91" s="1"/>
    </row>
    <row r="92" spans="1:14" ht="149.5" x14ac:dyDescent="0.35">
      <c r="A92" s="4" t="s">
        <v>554</v>
      </c>
      <c r="B92" s="4" t="s">
        <v>310</v>
      </c>
      <c r="C92" s="4">
        <v>2024</v>
      </c>
      <c r="D92" s="4" t="s">
        <v>619</v>
      </c>
      <c r="E92" s="4" t="s">
        <v>90</v>
      </c>
      <c r="F92" s="4" t="s">
        <v>620</v>
      </c>
      <c r="G92" s="4" t="s">
        <v>621</v>
      </c>
      <c r="H92" s="4" t="s">
        <v>622</v>
      </c>
      <c r="I92" s="4" t="s">
        <v>608</v>
      </c>
      <c r="J92" s="4" t="s">
        <v>623</v>
      </c>
      <c r="K92" s="4" t="s">
        <v>26</v>
      </c>
      <c r="L92" s="4" t="s">
        <v>624</v>
      </c>
      <c r="M92" s="1"/>
      <c r="N92" s="1"/>
    </row>
    <row r="93" spans="1:14" ht="57.5" x14ac:dyDescent="0.35">
      <c r="A93" s="4" t="s">
        <v>554</v>
      </c>
      <c r="B93" s="4" t="s">
        <v>318</v>
      </c>
      <c r="C93" s="4">
        <v>2024</v>
      </c>
      <c r="D93" s="4" t="s">
        <v>625</v>
      </c>
      <c r="E93" s="4" t="s">
        <v>98</v>
      </c>
      <c r="F93" s="4" t="s">
        <v>626</v>
      </c>
      <c r="G93" s="4" t="s">
        <v>627</v>
      </c>
      <c r="H93" s="4" t="s">
        <v>628</v>
      </c>
      <c r="I93" s="4" t="s">
        <v>629</v>
      </c>
      <c r="J93" s="4" t="s">
        <v>630</v>
      </c>
      <c r="K93" s="4" t="s">
        <v>26</v>
      </c>
      <c r="L93" s="4" t="s">
        <v>631</v>
      </c>
      <c r="M93" s="1"/>
      <c r="N93" s="1"/>
    </row>
    <row r="94" spans="1:14" ht="46" x14ac:dyDescent="0.35">
      <c r="A94" s="4" t="s">
        <v>554</v>
      </c>
      <c r="B94" s="4" t="s">
        <v>306</v>
      </c>
      <c r="C94" s="4">
        <v>2024</v>
      </c>
      <c r="D94" s="4" t="s">
        <v>632</v>
      </c>
      <c r="E94" s="4" t="s">
        <v>107</v>
      </c>
      <c r="F94" s="4" t="s">
        <v>633</v>
      </c>
      <c r="G94" s="4" t="s">
        <v>634</v>
      </c>
      <c r="H94" s="4" t="s">
        <v>635</v>
      </c>
      <c r="I94" s="4" t="s">
        <v>636</v>
      </c>
      <c r="J94" s="4" t="s">
        <v>637</v>
      </c>
      <c r="K94" s="4" t="s">
        <v>638</v>
      </c>
      <c r="L94" s="4" t="s">
        <v>639</v>
      </c>
      <c r="M94" s="2" t="s">
        <v>17</v>
      </c>
      <c r="N94" s="2" t="s">
        <v>640</v>
      </c>
    </row>
    <row r="95" spans="1:14" ht="92" x14ac:dyDescent="0.35">
      <c r="A95" s="4" t="s">
        <v>554</v>
      </c>
      <c r="B95" s="4" t="s">
        <v>310</v>
      </c>
      <c r="C95" s="4">
        <v>2024</v>
      </c>
      <c r="D95" s="4" t="s">
        <v>641</v>
      </c>
      <c r="E95" s="4" t="s">
        <v>115</v>
      </c>
      <c r="F95" s="4" t="s">
        <v>642</v>
      </c>
      <c r="G95" s="4" t="s">
        <v>643</v>
      </c>
      <c r="H95" s="4" t="s">
        <v>644</v>
      </c>
      <c r="I95" s="4" t="s">
        <v>645</v>
      </c>
      <c r="J95" s="4" t="s">
        <v>646</v>
      </c>
      <c r="K95" s="4" t="s">
        <v>26</v>
      </c>
      <c r="L95" s="4" t="s">
        <v>647</v>
      </c>
      <c r="M95" s="1"/>
      <c r="N95" s="1"/>
    </row>
    <row r="96" spans="1:14" ht="57.5" x14ac:dyDescent="0.35">
      <c r="A96" s="4" t="s">
        <v>554</v>
      </c>
      <c r="B96" s="4" t="s">
        <v>318</v>
      </c>
      <c r="C96" s="4">
        <v>2024</v>
      </c>
      <c r="D96" s="4" t="s">
        <v>648</v>
      </c>
      <c r="E96" s="4" t="s">
        <v>123</v>
      </c>
      <c r="F96" s="4" t="s">
        <v>649</v>
      </c>
      <c r="G96" s="4">
        <v>1</v>
      </c>
      <c r="H96" s="4">
        <v>3</v>
      </c>
      <c r="I96" s="4">
        <v>5</v>
      </c>
      <c r="J96" s="4">
        <v>7</v>
      </c>
      <c r="K96" s="4" t="s">
        <v>104</v>
      </c>
      <c r="L96" s="4" t="s">
        <v>650</v>
      </c>
      <c r="M96" s="1"/>
      <c r="N96" s="1"/>
    </row>
    <row r="97" spans="1:14" ht="57.5" x14ac:dyDescent="0.35">
      <c r="A97" s="4" t="s">
        <v>554</v>
      </c>
      <c r="B97" s="4" t="s">
        <v>306</v>
      </c>
      <c r="C97" s="4">
        <v>2024</v>
      </c>
      <c r="D97" s="4" t="s">
        <v>651</v>
      </c>
      <c r="E97" s="4" t="s">
        <v>131</v>
      </c>
      <c r="F97" s="4" t="s">
        <v>652</v>
      </c>
      <c r="G97" s="4">
        <v>6</v>
      </c>
      <c r="H97" s="4">
        <v>9</v>
      </c>
      <c r="I97" s="4">
        <v>12</v>
      </c>
      <c r="J97" s="4">
        <v>15</v>
      </c>
      <c r="K97" s="4" t="s">
        <v>153</v>
      </c>
      <c r="L97" s="4" t="s">
        <v>653</v>
      </c>
      <c r="M97" s="1"/>
      <c r="N97" s="1"/>
    </row>
    <row r="98" spans="1:14" ht="34.5" x14ac:dyDescent="0.35">
      <c r="A98" s="4" t="s">
        <v>554</v>
      </c>
      <c r="B98" s="4" t="s">
        <v>310</v>
      </c>
      <c r="C98" s="4">
        <v>2024</v>
      </c>
      <c r="D98" s="4" t="s">
        <v>654</v>
      </c>
      <c r="E98" s="4" t="s">
        <v>139</v>
      </c>
      <c r="F98" s="4" t="s">
        <v>655</v>
      </c>
      <c r="G98" s="4" t="s">
        <v>656</v>
      </c>
      <c r="H98" s="4" t="s">
        <v>657</v>
      </c>
      <c r="I98" s="4" t="s">
        <v>658</v>
      </c>
      <c r="J98" s="4" t="s">
        <v>659</v>
      </c>
      <c r="K98" s="4" t="s">
        <v>17</v>
      </c>
      <c r="L98" s="4" t="s">
        <v>660</v>
      </c>
      <c r="M98" s="1"/>
      <c r="N98" s="1"/>
    </row>
    <row r="99" spans="1:14" ht="57.5" x14ac:dyDescent="0.35">
      <c r="A99" s="4" t="s">
        <v>554</v>
      </c>
      <c r="B99" s="4" t="s">
        <v>318</v>
      </c>
      <c r="C99" s="4">
        <v>2024</v>
      </c>
      <c r="D99" s="4" t="s">
        <v>661</v>
      </c>
      <c r="E99" s="4" t="s">
        <v>147</v>
      </c>
      <c r="F99" s="4" t="s">
        <v>662</v>
      </c>
      <c r="G99" s="4" t="s">
        <v>591</v>
      </c>
      <c r="H99" s="4" t="s">
        <v>663</v>
      </c>
      <c r="I99" s="4" t="s">
        <v>664</v>
      </c>
      <c r="J99" s="4" t="s">
        <v>665</v>
      </c>
      <c r="K99" s="4" t="s">
        <v>17</v>
      </c>
      <c r="L99" s="4" t="s">
        <v>666</v>
      </c>
      <c r="M99" s="1"/>
      <c r="N99" s="1"/>
    </row>
    <row r="100" spans="1:14" ht="57.5" x14ac:dyDescent="0.35">
      <c r="A100" s="4" t="s">
        <v>554</v>
      </c>
      <c r="B100" s="4" t="s">
        <v>306</v>
      </c>
      <c r="C100" s="4">
        <v>2024</v>
      </c>
      <c r="D100" s="4" t="s">
        <v>667</v>
      </c>
      <c r="E100" s="4" t="s">
        <v>156</v>
      </c>
      <c r="F100" s="4" t="s">
        <v>668</v>
      </c>
      <c r="G100" s="4" t="s">
        <v>669</v>
      </c>
      <c r="H100" s="4" t="s">
        <v>506</v>
      </c>
      <c r="I100" s="4" t="s">
        <v>504</v>
      </c>
      <c r="J100" s="4" t="s">
        <v>670</v>
      </c>
      <c r="K100" s="4" t="s">
        <v>17</v>
      </c>
      <c r="L100" s="4" t="s">
        <v>671</v>
      </c>
      <c r="M100" s="1"/>
      <c r="N100" s="1"/>
    </row>
    <row r="101" spans="1:14" ht="103.5" x14ac:dyDescent="0.35">
      <c r="A101" s="4" t="s">
        <v>554</v>
      </c>
      <c r="B101" s="4" t="s">
        <v>310</v>
      </c>
      <c r="C101" s="4">
        <v>2024</v>
      </c>
      <c r="D101" s="4" t="s">
        <v>672</v>
      </c>
      <c r="E101" s="4" t="s">
        <v>163</v>
      </c>
      <c r="F101" s="4" t="s">
        <v>673</v>
      </c>
      <c r="G101" s="4" t="s">
        <v>674</v>
      </c>
      <c r="H101" s="4" t="s">
        <v>675</v>
      </c>
      <c r="I101" s="4" t="s">
        <v>676</v>
      </c>
      <c r="J101" s="4" t="s">
        <v>677</v>
      </c>
      <c r="K101" s="4" t="s">
        <v>17</v>
      </c>
      <c r="L101" s="4" t="s">
        <v>678</v>
      </c>
      <c r="M101" s="1"/>
      <c r="N101" s="1"/>
    </row>
    <row r="102" spans="1:14" ht="34.5" x14ac:dyDescent="0.35">
      <c r="A102" s="4" t="s">
        <v>554</v>
      </c>
      <c r="B102" s="4" t="s">
        <v>306</v>
      </c>
      <c r="C102" s="4">
        <v>2024</v>
      </c>
      <c r="D102" s="4" t="s">
        <v>679</v>
      </c>
      <c r="E102" s="4" t="s">
        <v>171</v>
      </c>
      <c r="F102" s="4" t="s">
        <v>680</v>
      </c>
      <c r="G102" s="4" t="s">
        <v>681</v>
      </c>
      <c r="H102" s="4" t="s">
        <v>682</v>
      </c>
      <c r="I102" s="4" t="s">
        <v>683</v>
      </c>
      <c r="J102" s="4" t="s">
        <v>684</v>
      </c>
      <c r="K102" s="4" t="s">
        <v>17</v>
      </c>
      <c r="L102" s="4" t="s">
        <v>685</v>
      </c>
      <c r="M102" s="1"/>
      <c r="N102" s="1"/>
    </row>
    <row r="103" spans="1:14" ht="92" x14ac:dyDescent="0.35">
      <c r="A103" s="4" t="s">
        <v>554</v>
      </c>
      <c r="B103" s="4" t="s">
        <v>310</v>
      </c>
      <c r="C103" s="4">
        <v>2024</v>
      </c>
      <c r="D103" s="4" t="s">
        <v>686</v>
      </c>
      <c r="E103" s="4" t="s">
        <v>179</v>
      </c>
      <c r="F103" s="4" t="s">
        <v>687</v>
      </c>
      <c r="G103" s="4" t="s">
        <v>437</v>
      </c>
      <c r="H103" s="4" t="s">
        <v>688</v>
      </c>
      <c r="I103" s="4" t="s">
        <v>689</v>
      </c>
      <c r="J103" s="4" t="s">
        <v>690</v>
      </c>
      <c r="K103" s="4" t="s">
        <v>153</v>
      </c>
      <c r="L103" s="4" t="s">
        <v>691</v>
      </c>
      <c r="M103" s="1"/>
      <c r="N103" s="1"/>
    </row>
    <row r="104" spans="1:14" ht="57.5" x14ac:dyDescent="0.35">
      <c r="A104" s="4" t="s">
        <v>554</v>
      </c>
      <c r="B104" s="4" t="s">
        <v>318</v>
      </c>
      <c r="C104" s="4">
        <v>2024</v>
      </c>
      <c r="D104" s="4" t="s">
        <v>692</v>
      </c>
      <c r="E104" s="4" t="s">
        <v>186</v>
      </c>
      <c r="F104" s="4" t="s">
        <v>693</v>
      </c>
      <c r="G104" s="4" t="s">
        <v>442</v>
      </c>
      <c r="H104" s="4" t="s">
        <v>441</v>
      </c>
      <c r="I104" s="4" t="s">
        <v>443</v>
      </c>
      <c r="J104" s="4" t="s">
        <v>444</v>
      </c>
      <c r="K104" s="4" t="s">
        <v>17</v>
      </c>
      <c r="L104" s="4" t="s">
        <v>445</v>
      </c>
      <c r="M104" s="1"/>
      <c r="N104" s="1"/>
    </row>
    <row r="105" spans="1:14" ht="34.5" x14ac:dyDescent="0.35">
      <c r="A105" s="4" t="s">
        <v>554</v>
      </c>
      <c r="B105" s="4" t="s">
        <v>306</v>
      </c>
      <c r="C105" s="4">
        <v>2024</v>
      </c>
      <c r="D105" s="4" t="s">
        <v>694</v>
      </c>
      <c r="E105" s="4" t="s">
        <v>190</v>
      </c>
      <c r="F105" s="4" t="s">
        <v>695</v>
      </c>
      <c r="G105" s="4">
        <v>-2</v>
      </c>
      <c r="H105" s="4">
        <v>2</v>
      </c>
      <c r="I105" s="4">
        <v>1</v>
      </c>
      <c r="J105" s="4">
        <v>0</v>
      </c>
      <c r="K105" s="4" t="s">
        <v>17</v>
      </c>
      <c r="L105" s="4" t="s">
        <v>696</v>
      </c>
      <c r="M105" s="1"/>
      <c r="N105" s="1"/>
    </row>
    <row r="106" spans="1:14" ht="103.5" x14ac:dyDescent="0.35">
      <c r="A106" s="4" t="s">
        <v>554</v>
      </c>
      <c r="B106" s="4" t="s">
        <v>310</v>
      </c>
      <c r="C106" s="4">
        <v>2024</v>
      </c>
      <c r="D106" s="4" t="s">
        <v>697</v>
      </c>
      <c r="E106" s="4" t="s">
        <v>198</v>
      </c>
      <c r="F106" s="4" t="s">
        <v>698</v>
      </c>
      <c r="G106" s="4" t="s">
        <v>699</v>
      </c>
      <c r="H106" s="4" t="s">
        <v>700</v>
      </c>
      <c r="I106" s="4" t="s">
        <v>452</v>
      </c>
      <c r="J106" s="4" t="s">
        <v>454</v>
      </c>
      <c r="K106" s="4" t="s">
        <v>17</v>
      </c>
      <c r="L106" s="4" t="s">
        <v>701</v>
      </c>
      <c r="M106" s="1"/>
      <c r="N106" s="1"/>
    </row>
    <row r="107" spans="1:14" ht="46" x14ac:dyDescent="0.35">
      <c r="A107" s="4" t="s">
        <v>554</v>
      </c>
      <c r="B107" s="4" t="s">
        <v>318</v>
      </c>
      <c r="C107" s="4">
        <v>2024</v>
      </c>
      <c r="D107" s="4" t="s">
        <v>702</v>
      </c>
      <c r="E107" s="4" t="s">
        <v>206</v>
      </c>
      <c r="F107" s="4" t="s">
        <v>703</v>
      </c>
      <c r="G107" s="4" t="s">
        <v>460</v>
      </c>
      <c r="H107" s="4" t="s">
        <v>461</v>
      </c>
      <c r="I107" s="4" t="s">
        <v>704</v>
      </c>
      <c r="J107" s="4" t="s">
        <v>459</v>
      </c>
      <c r="K107" s="4" t="s">
        <v>153</v>
      </c>
      <c r="L107" s="4" t="s">
        <v>705</v>
      </c>
      <c r="M107" s="1"/>
      <c r="N107" s="1"/>
    </row>
    <row r="108" spans="1:14" ht="34.5" x14ac:dyDescent="0.35">
      <c r="A108" s="4" t="s">
        <v>554</v>
      </c>
      <c r="B108" s="4" t="s">
        <v>306</v>
      </c>
      <c r="C108" s="4">
        <v>2024</v>
      </c>
      <c r="D108" s="4" t="s">
        <v>706</v>
      </c>
      <c r="E108" s="4" t="s">
        <v>214</v>
      </c>
      <c r="F108" s="4" t="s">
        <v>707</v>
      </c>
      <c r="G108" s="4" t="s">
        <v>708</v>
      </c>
      <c r="H108" s="4" t="s">
        <v>709</v>
      </c>
      <c r="I108" s="4" t="s">
        <v>467</v>
      </c>
      <c r="J108" s="4" t="s">
        <v>466</v>
      </c>
      <c r="K108" s="4" t="s">
        <v>17</v>
      </c>
      <c r="L108" s="4" t="s">
        <v>710</v>
      </c>
      <c r="M108" s="1"/>
      <c r="N108" s="1"/>
    </row>
    <row r="109" spans="1:14" ht="115" x14ac:dyDescent="0.35">
      <c r="A109" s="4" t="s">
        <v>554</v>
      </c>
      <c r="B109" s="4" t="s">
        <v>310</v>
      </c>
      <c r="C109" s="4">
        <v>2024</v>
      </c>
      <c r="D109" s="4" t="s">
        <v>711</v>
      </c>
      <c r="E109" s="4" t="s">
        <v>222</v>
      </c>
      <c r="F109" s="4" t="s">
        <v>712</v>
      </c>
      <c r="G109" s="4" t="s">
        <v>713</v>
      </c>
      <c r="H109" s="4" t="s">
        <v>714</v>
      </c>
      <c r="I109" s="4" t="s">
        <v>715</v>
      </c>
      <c r="J109" s="4" t="s">
        <v>716</v>
      </c>
      <c r="K109" s="4" t="s">
        <v>17</v>
      </c>
      <c r="L109" s="4" t="s">
        <v>717</v>
      </c>
      <c r="M109" s="1"/>
      <c r="N109" s="1"/>
    </row>
    <row r="110" spans="1:14" ht="46" x14ac:dyDescent="0.35">
      <c r="A110" s="4" t="s">
        <v>554</v>
      </c>
      <c r="B110" s="4" t="s">
        <v>318</v>
      </c>
      <c r="C110" s="4">
        <v>2024</v>
      </c>
      <c r="D110" s="4" t="s">
        <v>718</v>
      </c>
      <c r="E110" s="4" t="s">
        <v>229</v>
      </c>
      <c r="F110" s="4" t="s">
        <v>719</v>
      </c>
      <c r="G110" s="4" t="s">
        <v>720</v>
      </c>
      <c r="H110" s="4" t="s">
        <v>721</v>
      </c>
      <c r="I110" s="4" t="s">
        <v>722</v>
      </c>
      <c r="J110" s="4" t="s">
        <v>723</v>
      </c>
      <c r="K110" s="4" t="s">
        <v>17</v>
      </c>
      <c r="L110" s="4" t="s">
        <v>724</v>
      </c>
      <c r="M110" s="1"/>
      <c r="N110" s="1"/>
    </row>
    <row r="111" spans="1:14" ht="46" x14ac:dyDescent="0.35">
      <c r="A111" s="4" t="s">
        <v>554</v>
      </c>
      <c r="B111" s="4" t="s">
        <v>306</v>
      </c>
      <c r="C111" s="4">
        <v>2024</v>
      </c>
      <c r="D111" s="4" t="s">
        <v>725</v>
      </c>
      <c r="E111" s="4" t="s">
        <v>237</v>
      </c>
      <c r="F111" s="4" t="s">
        <v>726</v>
      </c>
      <c r="G111" s="4">
        <v>0.5</v>
      </c>
      <c r="H111" s="4">
        <v>1</v>
      </c>
      <c r="I111" s="4">
        <v>2</v>
      </c>
      <c r="J111" s="4">
        <v>0</v>
      </c>
      <c r="K111" s="4" t="s">
        <v>17</v>
      </c>
      <c r="L111" s="4" t="s">
        <v>727</v>
      </c>
      <c r="M111" s="1"/>
      <c r="N111" s="1"/>
    </row>
    <row r="112" spans="1:14" ht="69" x14ac:dyDescent="0.35">
      <c r="A112" s="4" t="s">
        <v>554</v>
      </c>
      <c r="B112" s="4" t="s">
        <v>310</v>
      </c>
      <c r="C112" s="4">
        <v>2024</v>
      </c>
      <c r="D112" s="4" t="s">
        <v>728</v>
      </c>
      <c r="E112" s="4" t="s">
        <v>241</v>
      </c>
      <c r="F112" s="4" t="s">
        <v>729</v>
      </c>
      <c r="G112" s="4" t="s">
        <v>608</v>
      </c>
      <c r="H112" s="4" t="s">
        <v>730</v>
      </c>
      <c r="I112" s="4" t="s">
        <v>731</v>
      </c>
      <c r="J112" s="4" t="s">
        <v>732</v>
      </c>
      <c r="K112" s="4" t="s">
        <v>17</v>
      </c>
      <c r="L112" s="4" t="s">
        <v>733</v>
      </c>
      <c r="M112" s="1"/>
      <c r="N112" s="1"/>
    </row>
    <row r="113" spans="1:14" ht="69" x14ac:dyDescent="0.35">
      <c r="A113" s="4" t="s">
        <v>554</v>
      </c>
      <c r="B113" s="4" t="s">
        <v>318</v>
      </c>
      <c r="C113" s="4">
        <v>2024</v>
      </c>
      <c r="D113" s="4" t="s">
        <v>734</v>
      </c>
      <c r="E113" s="4" t="s">
        <v>249</v>
      </c>
      <c r="F113" s="4" t="s">
        <v>735</v>
      </c>
      <c r="G113" s="4" t="s">
        <v>500</v>
      </c>
      <c r="H113" s="4" t="s">
        <v>736</v>
      </c>
      <c r="I113" s="4" t="s">
        <v>498</v>
      </c>
      <c r="J113" s="4" t="s">
        <v>499</v>
      </c>
      <c r="K113" s="4" t="s">
        <v>17</v>
      </c>
      <c r="L113" s="4" t="s">
        <v>737</v>
      </c>
      <c r="M113" s="1"/>
      <c r="N113" s="1"/>
    </row>
    <row r="114" spans="1:14" ht="57.5" x14ac:dyDescent="0.35">
      <c r="A114" s="4" t="s">
        <v>554</v>
      </c>
      <c r="B114" s="4" t="s">
        <v>306</v>
      </c>
      <c r="C114" s="4">
        <v>2024</v>
      </c>
      <c r="D114" s="4" t="s">
        <v>738</v>
      </c>
      <c r="E114" s="4" t="s">
        <v>257</v>
      </c>
      <c r="F114" s="4" t="s">
        <v>739</v>
      </c>
      <c r="G114" s="4" t="s">
        <v>506</v>
      </c>
      <c r="H114" s="4" t="s">
        <v>669</v>
      </c>
      <c r="I114" s="4" t="s">
        <v>504</v>
      </c>
      <c r="J114" s="4" t="s">
        <v>670</v>
      </c>
      <c r="K114" s="4" t="s">
        <v>17</v>
      </c>
      <c r="L114" s="4" t="s">
        <v>740</v>
      </c>
      <c r="M114" s="1"/>
      <c r="N114" s="1"/>
    </row>
    <row r="115" spans="1:14" ht="103.5" x14ac:dyDescent="0.35">
      <c r="A115" s="4" t="s">
        <v>554</v>
      </c>
      <c r="B115" s="4" t="s">
        <v>310</v>
      </c>
      <c r="C115" s="4">
        <v>2024</v>
      </c>
      <c r="D115" s="4" t="s">
        <v>741</v>
      </c>
      <c r="E115" s="4" t="s">
        <v>261</v>
      </c>
      <c r="F115" s="4" t="s">
        <v>742</v>
      </c>
      <c r="G115" s="4" t="s">
        <v>743</v>
      </c>
      <c r="H115" s="4" t="s">
        <v>744</v>
      </c>
      <c r="I115" s="4" t="s">
        <v>745</v>
      </c>
      <c r="J115" s="4" t="s">
        <v>746</v>
      </c>
      <c r="K115" s="4" t="s">
        <v>17</v>
      </c>
      <c r="L115" s="4" t="s">
        <v>747</v>
      </c>
      <c r="M115" s="1"/>
      <c r="N115" s="1"/>
    </row>
    <row r="116" spans="1:14" ht="34.5" x14ac:dyDescent="0.35">
      <c r="A116" s="4" t="s">
        <v>554</v>
      </c>
      <c r="B116" s="4" t="s">
        <v>318</v>
      </c>
      <c r="C116" s="4">
        <v>2024</v>
      </c>
      <c r="D116" s="4" t="s">
        <v>748</v>
      </c>
      <c r="E116" s="4" t="s">
        <v>268</v>
      </c>
      <c r="F116" s="4" t="s">
        <v>749</v>
      </c>
      <c r="G116" s="4" t="s">
        <v>750</v>
      </c>
      <c r="H116" s="4" t="s">
        <v>519</v>
      </c>
      <c r="I116" s="4" t="s">
        <v>520</v>
      </c>
      <c r="J116" s="4" t="s">
        <v>413</v>
      </c>
      <c r="K116" s="4" t="s">
        <v>17</v>
      </c>
      <c r="L116" s="4" t="s">
        <v>751</v>
      </c>
      <c r="M116" s="1"/>
      <c r="N116" s="1"/>
    </row>
    <row r="117" spans="1:14" ht="34.5" x14ac:dyDescent="0.35">
      <c r="A117" s="4" t="s">
        <v>554</v>
      </c>
      <c r="B117" s="4" t="s">
        <v>306</v>
      </c>
      <c r="C117" s="4">
        <v>2024</v>
      </c>
      <c r="D117" s="4" t="s">
        <v>752</v>
      </c>
      <c r="E117" s="4" t="s">
        <v>276</v>
      </c>
      <c r="F117" s="4" t="s">
        <v>753</v>
      </c>
      <c r="G117" s="4">
        <v>625</v>
      </c>
      <c r="H117" s="4">
        <v>125</v>
      </c>
      <c r="I117" s="4">
        <v>25</v>
      </c>
      <c r="J117" s="4">
        <v>5</v>
      </c>
      <c r="K117" s="4" t="s">
        <v>17</v>
      </c>
      <c r="L117" s="4" t="s">
        <v>754</v>
      </c>
      <c r="M117" s="1"/>
      <c r="N117" s="1"/>
    </row>
    <row r="118" spans="1:14" ht="69" x14ac:dyDescent="0.35">
      <c r="A118" s="4" t="s">
        <v>554</v>
      </c>
      <c r="B118" s="4" t="s">
        <v>310</v>
      </c>
      <c r="C118" s="4">
        <v>2024</v>
      </c>
      <c r="D118" s="4" t="s">
        <v>755</v>
      </c>
      <c r="E118" s="4" t="s">
        <v>280</v>
      </c>
      <c r="F118" s="4" t="s">
        <v>756</v>
      </c>
      <c r="G118" s="4" t="s">
        <v>757</v>
      </c>
      <c r="H118" s="4" t="s">
        <v>758</v>
      </c>
      <c r="I118" s="4" t="s">
        <v>759</v>
      </c>
      <c r="J118" s="4" t="s">
        <v>528</v>
      </c>
      <c r="K118" s="4" t="s">
        <v>17</v>
      </c>
      <c r="L118" s="4" t="s">
        <v>760</v>
      </c>
      <c r="M118" s="1"/>
      <c r="N118" s="1"/>
    </row>
    <row r="119" spans="1:14" ht="46" x14ac:dyDescent="0.35">
      <c r="A119" s="4" t="s">
        <v>554</v>
      </c>
      <c r="B119" s="4" t="s">
        <v>318</v>
      </c>
      <c r="C119" s="4">
        <v>2024</v>
      </c>
      <c r="D119" s="4" t="s">
        <v>761</v>
      </c>
      <c r="E119" s="4" t="s">
        <v>288</v>
      </c>
      <c r="F119" s="4" t="s">
        <v>762</v>
      </c>
      <c r="G119" s="4" t="s">
        <v>763</v>
      </c>
      <c r="H119" s="4" t="s">
        <v>535</v>
      </c>
      <c r="I119" s="4" t="s">
        <v>764</v>
      </c>
      <c r="J119" s="4" t="s">
        <v>538</v>
      </c>
      <c r="K119" s="4" t="s">
        <v>17</v>
      </c>
      <c r="L119" s="4" t="s">
        <v>765</v>
      </c>
      <c r="M119" s="1"/>
      <c r="N119" s="1"/>
    </row>
    <row r="120" spans="1:14" ht="34.5" x14ac:dyDescent="0.35">
      <c r="A120" s="4" t="s">
        <v>554</v>
      </c>
      <c r="B120" s="4" t="s">
        <v>306</v>
      </c>
      <c r="C120" s="4">
        <v>2024</v>
      </c>
      <c r="D120" s="4" t="s">
        <v>766</v>
      </c>
      <c r="E120" s="4" t="s">
        <v>292</v>
      </c>
      <c r="F120" s="4" t="s">
        <v>767</v>
      </c>
      <c r="G120" s="4" t="s">
        <v>768</v>
      </c>
      <c r="H120" s="4" t="s">
        <v>769</v>
      </c>
      <c r="I120" s="4" t="s">
        <v>545</v>
      </c>
      <c r="J120" s="4" t="s">
        <v>770</v>
      </c>
      <c r="K120" s="4" t="s">
        <v>17</v>
      </c>
      <c r="L120" s="4" t="s">
        <v>771</v>
      </c>
      <c r="M120" s="1"/>
      <c r="N120" s="1"/>
    </row>
    <row r="121" spans="1:14" ht="57.5" x14ac:dyDescent="0.35">
      <c r="A121" s="4" t="s">
        <v>554</v>
      </c>
      <c r="B121" s="4" t="s">
        <v>310</v>
      </c>
      <c r="C121" s="4">
        <v>2024</v>
      </c>
      <c r="D121" s="4" t="s">
        <v>772</v>
      </c>
      <c r="E121" s="4" t="s">
        <v>299</v>
      </c>
      <c r="F121" s="4" t="s">
        <v>773</v>
      </c>
      <c r="G121" s="4" t="s">
        <v>774</v>
      </c>
      <c r="H121" s="4" t="s">
        <v>550</v>
      </c>
      <c r="I121" s="4" t="s">
        <v>775</v>
      </c>
      <c r="J121" s="4" t="s">
        <v>552</v>
      </c>
      <c r="K121" s="4" t="s">
        <v>17</v>
      </c>
      <c r="L121" s="4" t="s">
        <v>776</v>
      </c>
      <c r="M121" s="1"/>
      <c r="N121" s="1"/>
    </row>
    <row r="122" spans="1:14" ht="34.5" x14ac:dyDescent="0.35">
      <c r="A122" s="4" t="s">
        <v>777</v>
      </c>
      <c r="B122" s="4" t="s">
        <v>778</v>
      </c>
      <c r="C122" s="4">
        <v>2024</v>
      </c>
      <c r="D122" s="4" t="s">
        <v>779</v>
      </c>
      <c r="E122" s="4" t="s">
        <v>15</v>
      </c>
      <c r="F122" s="4" t="s">
        <v>780</v>
      </c>
      <c r="G122" s="4" t="s">
        <v>781</v>
      </c>
      <c r="H122" s="4" t="s">
        <v>782</v>
      </c>
      <c r="I122" s="4" t="s">
        <v>783</v>
      </c>
      <c r="J122" s="4" t="s">
        <v>784</v>
      </c>
      <c r="K122" s="4" t="s">
        <v>17</v>
      </c>
      <c r="L122" s="4" t="s">
        <v>785</v>
      </c>
    </row>
    <row r="123" spans="1:14" ht="69" x14ac:dyDescent="0.35">
      <c r="A123" s="4" t="s">
        <v>777</v>
      </c>
      <c r="B123" s="4" t="s">
        <v>786</v>
      </c>
      <c r="C123" s="4">
        <v>2024</v>
      </c>
      <c r="D123" s="4" t="s">
        <v>787</v>
      </c>
      <c r="E123" s="4" t="s">
        <v>21</v>
      </c>
      <c r="F123" s="4" t="s">
        <v>788</v>
      </c>
      <c r="G123" s="4" t="s">
        <v>789</v>
      </c>
      <c r="H123" s="4" t="s">
        <v>790</v>
      </c>
      <c r="I123" s="4" t="s">
        <v>791</v>
      </c>
      <c r="J123" s="4" t="s">
        <v>792</v>
      </c>
      <c r="K123" s="4" t="s">
        <v>153</v>
      </c>
      <c r="L123" s="4" t="s">
        <v>793</v>
      </c>
    </row>
    <row r="124" spans="1:14" ht="69" x14ac:dyDescent="0.35">
      <c r="A124" s="4" t="s">
        <v>777</v>
      </c>
      <c r="B124" s="4" t="s">
        <v>310</v>
      </c>
      <c r="C124" s="4">
        <v>2024</v>
      </c>
      <c r="D124" s="4" t="s">
        <v>794</v>
      </c>
      <c r="E124" s="4" t="s">
        <v>30</v>
      </c>
      <c r="F124" s="4" t="s">
        <v>795</v>
      </c>
      <c r="G124" s="4" t="s">
        <v>796</v>
      </c>
      <c r="H124" s="4" t="s">
        <v>797</v>
      </c>
      <c r="I124" s="4" t="s">
        <v>798</v>
      </c>
      <c r="J124" s="4" t="s">
        <v>799</v>
      </c>
      <c r="K124" s="4" t="s">
        <v>26</v>
      </c>
      <c r="L124" s="4" t="s">
        <v>800</v>
      </c>
    </row>
    <row r="125" spans="1:14" ht="46" x14ac:dyDescent="0.35">
      <c r="A125" s="4" t="s">
        <v>777</v>
      </c>
      <c r="B125" s="4" t="s">
        <v>318</v>
      </c>
      <c r="C125" s="4">
        <v>2024</v>
      </c>
      <c r="D125" s="4" t="s">
        <v>801</v>
      </c>
      <c r="E125" s="4" t="s">
        <v>38</v>
      </c>
      <c r="F125" s="4" t="s">
        <v>802</v>
      </c>
      <c r="G125" s="4" t="s">
        <v>803</v>
      </c>
      <c r="H125" s="4" t="s">
        <v>804</v>
      </c>
      <c r="I125" s="4">
        <f xml:space="preserve"> 7</f>
        <v>7</v>
      </c>
      <c r="J125" s="4">
        <f xml:space="preserve"> 14</f>
        <v>14</v>
      </c>
      <c r="K125" s="4" t="s">
        <v>17</v>
      </c>
      <c r="L125" s="4" t="s">
        <v>805</v>
      </c>
    </row>
    <row r="126" spans="1:14" ht="69" x14ac:dyDescent="0.35">
      <c r="A126" s="4" t="s">
        <v>777</v>
      </c>
      <c r="B126" s="4" t="s">
        <v>778</v>
      </c>
      <c r="C126" s="4">
        <v>2024</v>
      </c>
      <c r="D126" s="4" t="s">
        <v>806</v>
      </c>
      <c r="E126" s="4" t="s">
        <v>42</v>
      </c>
      <c r="F126" s="4" t="s">
        <v>807</v>
      </c>
      <c r="G126" s="4" t="s">
        <v>808</v>
      </c>
      <c r="H126" s="4" t="s">
        <v>809</v>
      </c>
      <c r="I126" s="4" t="s">
        <v>810</v>
      </c>
      <c r="J126" s="4" t="s">
        <v>811</v>
      </c>
      <c r="K126" s="4" t="s">
        <v>26</v>
      </c>
      <c r="L126" s="4" t="s">
        <v>812</v>
      </c>
    </row>
    <row r="127" spans="1:14" ht="57.5" x14ac:dyDescent="0.35">
      <c r="A127" s="4" t="s">
        <v>777</v>
      </c>
      <c r="B127" s="4" t="s">
        <v>786</v>
      </c>
      <c r="C127" s="4">
        <v>2024</v>
      </c>
      <c r="D127" s="4" t="s">
        <v>813</v>
      </c>
      <c r="E127" s="4" t="s">
        <v>50</v>
      </c>
      <c r="F127" s="4" t="s">
        <v>814</v>
      </c>
      <c r="G127" s="4" t="s">
        <v>815</v>
      </c>
      <c r="H127" s="4" t="s">
        <v>816</v>
      </c>
      <c r="I127" s="4" t="s">
        <v>817</v>
      </c>
      <c r="J127" s="4" t="s">
        <v>818</v>
      </c>
      <c r="K127" s="4" t="s">
        <v>17</v>
      </c>
      <c r="L127" s="4" t="s">
        <v>819</v>
      </c>
    </row>
    <row r="128" spans="1:14" ht="57.5" x14ac:dyDescent="0.35">
      <c r="A128" s="4" t="s">
        <v>777</v>
      </c>
      <c r="B128" s="4" t="s">
        <v>310</v>
      </c>
      <c r="C128" s="4">
        <v>2024</v>
      </c>
      <c r="D128" s="4" t="s">
        <v>820</v>
      </c>
      <c r="E128" s="4" t="s">
        <v>58</v>
      </c>
      <c r="F128" s="4" t="s">
        <v>821</v>
      </c>
      <c r="G128" s="4" t="s">
        <v>822</v>
      </c>
      <c r="H128" s="4" t="s">
        <v>823</v>
      </c>
      <c r="I128" s="4" t="s">
        <v>552</v>
      </c>
      <c r="J128" s="4" t="s">
        <v>824</v>
      </c>
      <c r="K128" s="4" t="s">
        <v>17</v>
      </c>
      <c r="L128" s="4" t="s">
        <v>825</v>
      </c>
    </row>
    <row r="129" spans="1:12" ht="34.5" x14ac:dyDescent="0.35">
      <c r="A129" s="4" t="s">
        <v>777</v>
      </c>
      <c r="B129" s="4" t="s">
        <v>318</v>
      </c>
      <c r="C129" s="4">
        <v>2024</v>
      </c>
      <c r="D129" s="4" t="s">
        <v>826</v>
      </c>
      <c r="E129" s="4" t="s">
        <v>66</v>
      </c>
      <c r="F129" s="4" t="s">
        <v>827</v>
      </c>
      <c r="G129" s="4" t="s">
        <v>459</v>
      </c>
      <c r="H129" s="4" t="s">
        <v>828</v>
      </c>
      <c r="I129" s="4" t="s">
        <v>829</v>
      </c>
      <c r="J129" s="4" t="s">
        <v>830</v>
      </c>
      <c r="K129" s="4" t="s">
        <v>26</v>
      </c>
      <c r="L129" s="4" t="s">
        <v>831</v>
      </c>
    </row>
    <row r="130" spans="1:12" ht="69" x14ac:dyDescent="0.35">
      <c r="A130" s="4" t="s">
        <v>777</v>
      </c>
      <c r="B130" s="4" t="s">
        <v>778</v>
      </c>
      <c r="C130" s="4">
        <v>2024</v>
      </c>
      <c r="D130" s="4" t="s">
        <v>832</v>
      </c>
      <c r="E130" s="4" t="s">
        <v>74</v>
      </c>
      <c r="F130" s="4" t="s">
        <v>833</v>
      </c>
      <c r="G130" s="4" t="s">
        <v>834</v>
      </c>
      <c r="H130" s="4" t="s">
        <v>835</v>
      </c>
      <c r="I130" s="4" t="s">
        <v>836</v>
      </c>
      <c r="J130" s="4" t="s">
        <v>837</v>
      </c>
      <c r="K130" s="4" t="s">
        <v>26</v>
      </c>
      <c r="L130" s="4" t="s">
        <v>838</v>
      </c>
    </row>
    <row r="131" spans="1:12" ht="57.5" x14ac:dyDescent="0.35">
      <c r="A131" s="4" t="s">
        <v>777</v>
      </c>
      <c r="B131" s="4" t="s">
        <v>786</v>
      </c>
      <c r="C131" s="4">
        <v>2024</v>
      </c>
      <c r="D131" s="4" t="s">
        <v>839</v>
      </c>
      <c r="E131" s="4" t="s">
        <v>82</v>
      </c>
      <c r="F131" s="4" t="s">
        <v>840</v>
      </c>
      <c r="G131" s="4" t="s">
        <v>841</v>
      </c>
      <c r="H131" s="4" t="s">
        <v>842</v>
      </c>
      <c r="I131" s="4" t="s">
        <v>843</v>
      </c>
      <c r="J131" s="4" t="s">
        <v>844</v>
      </c>
      <c r="K131" s="4" t="s">
        <v>26</v>
      </c>
      <c r="L131" s="4" t="s">
        <v>845</v>
      </c>
    </row>
    <row r="132" spans="1:12" ht="34.5" x14ac:dyDescent="0.35">
      <c r="A132" s="4" t="s">
        <v>777</v>
      </c>
      <c r="B132" s="4" t="s">
        <v>310</v>
      </c>
      <c r="C132" s="4">
        <v>2024</v>
      </c>
      <c r="D132" s="4" t="s">
        <v>846</v>
      </c>
      <c r="E132" s="4" t="s">
        <v>90</v>
      </c>
      <c r="F132" s="4" t="s">
        <v>847</v>
      </c>
      <c r="G132" s="4" t="s">
        <v>848</v>
      </c>
      <c r="H132" s="4" t="s">
        <v>849</v>
      </c>
      <c r="I132" s="4" t="s">
        <v>850</v>
      </c>
      <c r="J132" s="4" t="s">
        <v>851</v>
      </c>
      <c r="K132" s="4" t="s">
        <v>17</v>
      </c>
      <c r="L132" s="4" t="s">
        <v>852</v>
      </c>
    </row>
    <row r="133" spans="1:12" ht="69" x14ac:dyDescent="0.35">
      <c r="A133" s="4" t="s">
        <v>777</v>
      </c>
      <c r="B133" s="4" t="s">
        <v>318</v>
      </c>
      <c r="C133" s="4">
        <v>2024</v>
      </c>
      <c r="D133" s="4" t="s">
        <v>853</v>
      </c>
      <c r="E133" s="4" t="s">
        <v>98</v>
      </c>
      <c r="F133" s="4" t="s">
        <v>854</v>
      </c>
      <c r="G133" s="4" t="s">
        <v>855</v>
      </c>
      <c r="H133" s="4" t="s">
        <v>856</v>
      </c>
      <c r="I133" s="4" t="s">
        <v>857</v>
      </c>
      <c r="J133" s="4" t="s">
        <v>858</v>
      </c>
      <c r="K133" s="4" t="s">
        <v>17</v>
      </c>
      <c r="L133" s="4" t="s">
        <v>859</v>
      </c>
    </row>
    <row r="134" spans="1:12" ht="46" x14ac:dyDescent="0.35">
      <c r="A134" s="4" t="s">
        <v>777</v>
      </c>
      <c r="B134" s="4" t="s">
        <v>778</v>
      </c>
      <c r="C134" s="4">
        <v>2024</v>
      </c>
      <c r="D134" s="4" t="s">
        <v>860</v>
      </c>
      <c r="E134" s="4" t="s">
        <v>107</v>
      </c>
      <c r="F134" s="4" t="s">
        <v>861</v>
      </c>
      <c r="G134" s="4" t="s">
        <v>862</v>
      </c>
      <c r="H134" s="4" t="s">
        <v>863</v>
      </c>
      <c r="I134" s="4" t="s">
        <v>864</v>
      </c>
      <c r="J134" s="4" t="s">
        <v>865</v>
      </c>
      <c r="K134" s="4" t="s">
        <v>17</v>
      </c>
      <c r="L134" s="4" t="s">
        <v>866</v>
      </c>
    </row>
    <row r="135" spans="1:12" ht="46" x14ac:dyDescent="0.35">
      <c r="A135" s="4" t="s">
        <v>777</v>
      </c>
      <c r="B135" s="4" t="s">
        <v>786</v>
      </c>
      <c r="C135" s="4">
        <v>2024</v>
      </c>
      <c r="D135" s="4" t="s">
        <v>867</v>
      </c>
      <c r="E135" s="4" t="s">
        <v>115</v>
      </c>
      <c r="F135" s="4" t="s">
        <v>868</v>
      </c>
      <c r="G135" s="4" t="s">
        <v>869</v>
      </c>
      <c r="H135" s="4" t="s">
        <v>870</v>
      </c>
      <c r="I135" s="4" t="s">
        <v>871</v>
      </c>
      <c r="J135" s="4" t="s">
        <v>872</v>
      </c>
      <c r="K135" s="4" t="s">
        <v>153</v>
      </c>
      <c r="L135" s="4" t="s">
        <v>873</v>
      </c>
    </row>
    <row r="136" spans="1:12" ht="57.5" x14ac:dyDescent="0.35">
      <c r="A136" s="4" t="s">
        <v>777</v>
      </c>
      <c r="B136" s="4" t="s">
        <v>310</v>
      </c>
      <c r="C136" s="4">
        <v>2024</v>
      </c>
      <c r="D136" s="4" t="s">
        <v>874</v>
      </c>
      <c r="E136" s="4" t="s">
        <v>123</v>
      </c>
      <c r="F136" s="4" t="s">
        <v>875</v>
      </c>
      <c r="G136" s="4" t="s">
        <v>876</v>
      </c>
      <c r="H136" s="4" t="s">
        <v>877</v>
      </c>
      <c r="I136" s="4" t="s">
        <v>878</v>
      </c>
      <c r="J136" s="4" t="s">
        <v>879</v>
      </c>
      <c r="K136" s="4" t="s">
        <v>17</v>
      </c>
      <c r="L136" s="4" t="s">
        <v>880</v>
      </c>
    </row>
    <row r="137" spans="1:12" ht="92" x14ac:dyDescent="0.35">
      <c r="A137" s="4" t="s">
        <v>777</v>
      </c>
      <c r="B137" s="4" t="s">
        <v>318</v>
      </c>
      <c r="C137" s="4">
        <v>2024</v>
      </c>
      <c r="D137" s="4" t="s">
        <v>881</v>
      </c>
      <c r="E137" s="4" t="s">
        <v>131</v>
      </c>
      <c r="F137" s="4" t="s">
        <v>882</v>
      </c>
      <c r="G137" s="4" t="s">
        <v>519</v>
      </c>
      <c r="H137" s="4" t="s">
        <v>518</v>
      </c>
      <c r="I137" s="4" t="s">
        <v>883</v>
      </c>
      <c r="J137" s="4" t="s">
        <v>413</v>
      </c>
      <c r="K137" s="4" t="s">
        <v>153</v>
      </c>
      <c r="L137" s="4" t="s">
        <v>884</v>
      </c>
    </row>
    <row r="138" spans="1:12" ht="57.5" x14ac:dyDescent="0.35">
      <c r="A138" s="4" t="s">
        <v>777</v>
      </c>
      <c r="B138" s="4" t="s">
        <v>778</v>
      </c>
      <c r="C138" s="4">
        <v>2024</v>
      </c>
      <c r="D138" s="4" t="s">
        <v>885</v>
      </c>
      <c r="E138" s="4" t="s">
        <v>139</v>
      </c>
      <c r="F138" s="4" t="s">
        <v>886</v>
      </c>
      <c r="G138" s="4" t="s">
        <v>887</v>
      </c>
      <c r="H138" s="4" t="s">
        <v>888</v>
      </c>
      <c r="I138" s="4" t="s">
        <v>889</v>
      </c>
      <c r="J138" s="4" t="s">
        <v>890</v>
      </c>
      <c r="K138" s="4" t="s">
        <v>17</v>
      </c>
      <c r="L138" s="4" t="s">
        <v>891</v>
      </c>
    </row>
    <row r="139" spans="1:12" ht="34.5" x14ac:dyDescent="0.35">
      <c r="A139" s="4" t="s">
        <v>777</v>
      </c>
      <c r="B139" s="4" t="s">
        <v>786</v>
      </c>
      <c r="C139" s="4">
        <v>2024</v>
      </c>
      <c r="D139" s="4" t="s">
        <v>892</v>
      </c>
      <c r="E139" s="4" t="s">
        <v>147</v>
      </c>
      <c r="F139" s="4" t="s">
        <v>893</v>
      </c>
      <c r="G139" s="4" t="s">
        <v>894</v>
      </c>
      <c r="H139" s="4" t="s">
        <v>895</v>
      </c>
      <c r="I139" s="4" t="s">
        <v>896</v>
      </c>
      <c r="J139" s="4" t="s">
        <v>897</v>
      </c>
      <c r="K139" s="4" t="s">
        <v>26</v>
      </c>
      <c r="L139" s="4" t="s">
        <v>898</v>
      </c>
    </row>
    <row r="140" spans="1:12" ht="57.5" x14ac:dyDescent="0.35">
      <c r="A140" s="4" t="s">
        <v>777</v>
      </c>
      <c r="B140" s="4" t="s">
        <v>310</v>
      </c>
      <c r="C140" s="4">
        <v>2024</v>
      </c>
      <c r="D140" s="4" t="s">
        <v>899</v>
      </c>
      <c r="E140" s="4" t="s">
        <v>156</v>
      </c>
      <c r="F140" s="4" t="s">
        <v>900</v>
      </c>
      <c r="G140" s="4" t="s">
        <v>901</v>
      </c>
      <c r="H140" s="4" t="s">
        <v>902</v>
      </c>
      <c r="I140" s="4" t="s">
        <v>903</v>
      </c>
      <c r="J140" s="4" t="s">
        <v>904</v>
      </c>
      <c r="K140" s="4" t="s">
        <v>17</v>
      </c>
      <c r="L140" s="4" t="s">
        <v>905</v>
      </c>
    </row>
    <row r="141" spans="1:12" ht="57.5" x14ac:dyDescent="0.35">
      <c r="A141" s="4" t="s">
        <v>777</v>
      </c>
      <c r="B141" s="4" t="s">
        <v>318</v>
      </c>
      <c r="C141" s="4">
        <v>2024</v>
      </c>
      <c r="D141" s="4" t="s">
        <v>906</v>
      </c>
      <c r="E141" s="4" t="s">
        <v>163</v>
      </c>
      <c r="F141" s="4" t="s">
        <v>907</v>
      </c>
      <c r="G141" s="4" t="s">
        <v>411</v>
      </c>
      <c r="H141" s="4" t="s">
        <v>908</v>
      </c>
      <c r="I141" s="4" t="s">
        <v>909</v>
      </c>
      <c r="J141" s="4" t="s">
        <v>520</v>
      </c>
      <c r="K141" s="4" t="s">
        <v>17</v>
      </c>
      <c r="L141" s="4" t="s">
        <v>910</v>
      </c>
    </row>
    <row r="142" spans="1:12" ht="46" x14ac:dyDescent="0.35">
      <c r="A142" s="4" t="s">
        <v>777</v>
      </c>
      <c r="B142" s="4" t="s">
        <v>778</v>
      </c>
      <c r="C142" s="4">
        <v>2024</v>
      </c>
      <c r="D142" s="4" t="s">
        <v>911</v>
      </c>
      <c r="E142" s="4" t="s">
        <v>171</v>
      </c>
      <c r="F142" s="4" t="s">
        <v>912</v>
      </c>
      <c r="G142" s="4" t="s">
        <v>913</v>
      </c>
      <c r="H142" s="4" t="s">
        <v>914</v>
      </c>
      <c r="I142" s="4" t="s">
        <v>915</v>
      </c>
      <c r="J142" s="4" t="s">
        <v>916</v>
      </c>
      <c r="K142" s="4" t="s">
        <v>17</v>
      </c>
      <c r="L142" s="4" t="s">
        <v>917</v>
      </c>
    </row>
    <row r="143" spans="1:12" ht="46" x14ac:dyDescent="0.35">
      <c r="A143" s="4" t="s">
        <v>777</v>
      </c>
      <c r="B143" s="4" t="s">
        <v>786</v>
      </c>
      <c r="C143" s="4">
        <v>2024</v>
      </c>
      <c r="D143" s="4" t="s">
        <v>918</v>
      </c>
      <c r="E143" s="4" t="s">
        <v>179</v>
      </c>
      <c r="F143" s="4" t="s">
        <v>919</v>
      </c>
      <c r="G143" s="4" t="s">
        <v>920</v>
      </c>
      <c r="H143" s="4" t="s">
        <v>921</v>
      </c>
      <c r="I143" s="4" t="s">
        <v>922</v>
      </c>
      <c r="J143" s="4" t="s">
        <v>923</v>
      </c>
      <c r="K143" s="4" t="s">
        <v>153</v>
      </c>
      <c r="L143" s="4" t="s">
        <v>924</v>
      </c>
    </row>
    <row r="144" spans="1:12" ht="57.5" x14ac:dyDescent="0.35">
      <c r="A144" s="4" t="s">
        <v>777</v>
      </c>
      <c r="B144" s="4" t="s">
        <v>310</v>
      </c>
      <c r="C144" s="4">
        <v>2024</v>
      </c>
      <c r="D144" s="4" t="s">
        <v>925</v>
      </c>
      <c r="E144" s="4" t="s">
        <v>186</v>
      </c>
      <c r="F144" s="4" t="s">
        <v>926</v>
      </c>
      <c r="G144" s="4" t="s">
        <v>927</v>
      </c>
      <c r="H144" s="4" t="s">
        <v>928</v>
      </c>
      <c r="I144" s="4" t="s">
        <v>929</v>
      </c>
      <c r="J144" s="4" t="s">
        <v>930</v>
      </c>
      <c r="K144" s="4" t="s">
        <v>26</v>
      </c>
      <c r="L144" s="4" t="s">
        <v>931</v>
      </c>
    </row>
    <row r="145" spans="1:12" ht="34.5" x14ac:dyDescent="0.35">
      <c r="A145" s="4" t="s">
        <v>777</v>
      </c>
      <c r="B145" s="4" t="s">
        <v>318</v>
      </c>
      <c r="C145" s="4">
        <v>2024</v>
      </c>
      <c r="D145" s="4" t="s">
        <v>932</v>
      </c>
      <c r="E145" s="4" t="s">
        <v>190</v>
      </c>
      <c r="F145" s="4" t="s">
        <v>933</v>
      </c>
      <c r="G145" s="4" t="s">
        <v>934</v>
      </c>
      <c r="H145" s="4" t="s">
        <v>935</v>
      </c>
      <c r="I145" s="4" t="s">
        <v>936</v>
      </c>
      <c r="J145" s="4" t="s">
        <v>937</v>
      </c>
      <c r="K145" s="4" t="s">
        <v>17</v>
      </c>
      <c r="L145" s="4" t="s">
        <v>938</v>
      </c>
    </row>
    <row r="146" spans="1:12" ht="57.5" x14ac:dyDescent="0.35">
      <c r="A146" s="4" t="s">
        <v>777</v>
      </c>
      <c r="B146" s="4" t="s">
        <v>778</v>
      </c>
      <c r="C146" s="4">
        <v>2024</v>
      </c>
      <c r="D146" s="4" t="s">
        <v>939</v>
      </c>
      <c r="E146" s="4" t="s">
        <v>198</v>
      </c>
      <c r="F146" s="4" t="s">
        <v>940</v>
      </c>
      <c r="G146" s="4" t="s">
        <v>941</v>
      </c>
      <c r="H146" s="4" t="s">
        <v>942</v>
      </c>
      <c r="I146" s="4" t="s">
        <v>943</v>
      </c>
      <c r="J146" s="4" t="s">
        <v>944</v>
      </c>
      <c r="K146" s="4" t="s">
        <v>26</v>
      </c>
      <c r="L146" s="4" t="s">
        <v>945</v>
      </c>
    </row>
    <row r="147" spans="1:12" ht="57.5" x14ac:dyDescent="0.35">
      <c r="A147" s="4" t="s">
        <v>777</v>
      </c>
      <c r="B147" s="4" t="s">
        <v>786</v>
      </c>
      <c r="C147" s="4">
        <v>2024</v>
      </c>
      <c r="D147" s="4" t="s">
        <v>946</v>
      </c>
      <c r="E147" s="4" t="s">
        <v>206</v>
      </c>
      <c r="F147" s="4" t="s">
        <v>947</v>
      </c>
      <c r="G147" s="4" t="s">
        <v>948</v>
      </c>
      <c r="H147" s="4" t="s">
        <v>949</v>
      </c>
      <c r="I147" s="4" t="s">
        <v>950</v>
      </c>
      <c r="J147" s="4" t="s">
        <v>951</v>
      </c>
      <c r="K147" s="4" t="s">
        <v>17</v>
      </c>
      <c r="L147" s="4" t="s">
        <v>952</v>
      </c>
    </row>
    <row r="148" spans="1:12" ht="57.5" x14ac:dyDescent="0.35">
      <c r="A148" s="4" t="s">
        <v>777</v>
      </c>
      <c r="B148" s="4" t="s">
        <v>310</v>
      </c>
      <c r="C148" s="4">
        <v>2024</v>
      </c>
      <c r="D148" s="4" t="s">
        <v>953</v>
      </c>
      <c r="E148" s="4" t="s">
        <v>214</v>
      </c>
      <c r="F148" s="4" t="s">
        <v>954</v>
      </c>
      <c r="G148" s="4" t="s">
        <v>955</v>
      </c>
      <c r="H148" s="4" t="s">
        <v>956</v>
      </c>
      <c r="I148" s="4" t="s">
        <v>957</v>
      </c>
      <c r="J148" s="4" t="s">
        <v>958</v>
      </c>
      <c r="K148" s="4" t="s">
        <v>17</v>
      </c>
      <c r="L148" s="4" t="s">
        <v>959</v>
      </c>
    </row>
    <row r="149" spans="1:12" ht="34.5" x14ac:dyDescent="0.35">
      <c r="A149" s="4" t="s">
        <v>777</v>
      </c>
      <c r="B149" s="4" t="s">
        <v>318</v>
      </c>
      <c r="C149" s="4">
        <v>2024</v>
      </c>
      <c r="D149" s="4" t="s">
        <v>960</v>
      </c>
      <c r="E149" s="4" t="s">
        <v>222</v>
      </c>
      <c r="F149" s="4" t="s">
        <v>961</v>
      </c>
      <c r="G149" s="4" t="s">
        <v>962</v>
      </c>
      <c r="H149" s="4" t="s">
        <v>963</v>
      </c>
      <c r="I149" s="4" t="s">
        <v>460</v>
      </c>
      <c r="J149" s="4" t="s">
        <v>964</v>
      </c>
      <c r="K149" s="4" t="s">
        <v>17</v>
      </c>
      <c r="L149" s="4" t="s">
        <v>965</v>
      </c>
    </row>
    <row r="150" spans="1:12" ht="69" x14ac:dyDescent="0.35">
      <c r="A150" s="4" t="s">
        <v>777</v>
      </c>
      <c r="B150" s="4" t="s">
        <v>778</v>
      </c>
      <c r="C150" s="4">
        <v>2024</v>
      </c>
      <c r="D150" s="4" t="s">
        <v>966</v>
      </c>
      <c r="E150" s="4" t="s">
        <v>229</v>
      </c>
      <c r="F150" s="4" t="s">
        <v>967</v>
      </c>
      <c r="G150" s="4" t="s">
        <v>181</v>
      </c>
      <c r="H150" s="4" t="s">
        <v>182</v>
      </c>
      <c r="I150" s="4" t="s">
        <v>183</v>
      </c>
      <c r="J150" s="4" t="s">
        <v>70</v>
      </c>
      <c r="K150" s="4" t="s">
        <v>17</v>
      </c>
      <c r="L150" s="4" t="s">
        <v>968</v>
      </c>
    </row>
    <row r="151" spans="1:12" ht="46" x14ac:dyDescent="0.35">
      <c r="A151" s="4" t="s">
        <v>777</v>
      </c>
      <c r="B151" s="4" t="s">
        <v>786</v>
      </c>
      <c r="C151" s="4">
        <v>2024</v>
      </c>
      <c r="D151" s="4" t="s">
        <v>969</v>
      </c>
      <c r="E151" s="4" t="s">
        <v>237</v>
      </c>
      <c r="F151" s="4" t="s">
        <v>970</v>
      </c>
      <c r="G151" s="4" t="s">
        <v>971</v>
      </c>
      <c r="H151" s="4" t="s">
        <v>972</v>
      </c>
      <c r="I151" s="4" t="s">
        <v>973</v>
      </c>
      <c r="J151" s="4" t="s">
        <v>519</v>
      </c>
      <c r="K151" s="4" t="s">
        <v>104</v>
      </c>
      <c r="L151" s="4" t="s">
        <v>974</v>
      </c>
    </row>
    <row r="152" spans="1:12" ht="57.5" x14ac:dyDescent="0.35">
      <c r="A152" s="4" t="s">
        <v>777</v>
      </c>
      <c r="B152" s="4" t="s">
        <v>310</v>
      </c>
      <c r="C152" s="4">
        <v>2024</v>
      </c>
      <c r="D152" s="4" t="s">
        <v>975</v>
      </c>
      <c r="E152" s="4" t="s">
        <v>241</v>
      </c>
      <c r="F152" s="4" t="s">
        <v>976</v>
      </c>
      <c r="G152" s="4" t="s">
        <v>977</v>
      </c>
      <c r="H152" s="4" t="s">
        <v>978</v>
      </c>
      <c r="I152" s="4" t="s">
        <v>979</v>
      </c>
      <c r="J152" s="4" t="s">
        <v>980</v>
      </c>
      <c r="K152" s="4" t="s">
        <v>104</v>
      </c>
      <c r="L152" s="4" t="s">
        <v>981</v>
      </c>
    </row>
    <row r="153" spans="1:12" ht="46" x14ac:dyDescent="0.35">
      <c r="A153" s="4" t="s">
        <v>777</v>
      </c>
      <c r="B153" s="4" t="s">
        <v>318</v>
      </c>
      <c r="C153" s="4">
        <v>2024</v>
      </c>
      <c r="D153" s="4" t="s">
        <v>982</v>
      </c>
      <c r="E153" s="4" t="s">
        <v>249</v>
      </c>
      <c r="F153" s="4" t="s">
        <v>983</v>
      </c>
      <c r="G153" s="4">
        <v>4</v>
      </c>
      <c r="H153" s="4">
        <v>2</v>
      </c>
      <c r="I153" s="4">
        <v>-4</v>
      </c>
      <c r="J153" s="4">
        <v>-2</v>
      </c>
      <c r="K153" s="4" t="s">
        <v>17</v>
      </c>
      <c r="L153" s="4" t="s">
        <v>984</v>
      </c>
    </row>
    <row r="154" spans="1:12" ht="34.5" x14ac:dyDescent="0.35">
      <c r="A154" s="4" t="s">
        <v>777</v>
      </c>
      <c r="B154" s="4" t="s">
        <v>306</v>
      </c>
      <c r="C154" s="4">
        <v>2024</v>
      </c>
      <c r="D154" s="4" t="s">
        <v>985</v>
      </c>
      <c r="E154" s="4" t="s">
        <v>257</v>
      </c>
      <c r="F154" s="4" t="s">
        <v>986</v>
      </c>
      <c r="G154" s="4" t="s">
        <v>598</v>
      </c>
      <c r="H154" s="4" t="s">
        <v>987</v>
      </c>
      <c r="I154" s="4" t="s">
        <v>988</v>
      </c>
      <c r="J154" s="4" t="s">
        <v>636</v>
      </c>
      <c r="K154" s="4" t="s">
        <v>17</v>
      </c>
      <c r="L154" s="4" t="s">
        <v>989</v>
      </c>
    </row>
    <row r="155" spans="1:12" ht="69" x14ac:dyDescent="0.35">
      <c r="A155" s="4" t="s">
        <v>777</v>
      </c>
      <c r="B155" s="4" t="s">
        <v>310</v>
      </c>
      <c r="C155" s="4">
        <v>2024</v>
      </c>
      <c r="D155" s="4" t="s">
        <v>990</v>
      </c>
      <c r="E155" s="4" t="s">
        <v>261</v>
      </c>
      <c r="F155" s="4" t="s">
        <v>991</v>
      </c>
      <c r="G155" s="4" t="s">
        <v>757</v>
      </c>
      <c r="H155" s="4" t="s">
        <v>528</v>
      </c>
      <c r="I155" s="4" t="s">
        <v>992</v>
      </c>
      <c r="J155" s="4" t="s">
        <v>759</v>
      </c>
      <c r="K155" s="4" t="s">
        <v>17</v>
      </c>
      <c r="L155" s="4" t="s">
        <v>993</v>
      </c>
    </row>
    <row r="156" spans="1:12" ht="34.5" x14ac:dyDescent="0.35">
      <c r="A156" s="4" t="s">
        <v>777</v>
      </c>
      <c r="B156" s="4" t="s">
        <v>318</v>
      </c>
      <c r="C156" s="4">
        <v>2024</v>
      </c>
      <c r="D156" s="4" t="s">
        <v>994</v>
      </c>
      <c r="E156" s="4" t="s">
        <v>268</v>
      </c>
      <c r="F156" s="4" t="s">
        <v>995</v>
      </c>
      <c r="G156" s="4" t="s">
        <v>996</v>
      </c>
      <c r="H156" s="4" t="s">
        <v>997</v>
      </c>
      <c r="I156" s="4" t="s">
        <v>998</v>
      </c>
      <c r="J156" s="4" t="s">
        <v>999</v>
      </c>
      <c r="K156" s="4" t="s">
        <v>17</v>
      </c>
      <c r="L156" s="4" t="s">
        <v>1000</v>
      </c>
    </row>
    <row r="157" spans="1:12" ht="57.5" x14ac:dyDescent="0.35">
      <c r="A157" s="4" t="s">
        <v>777</v>
      </c>
      <c r="B157" s="4" t="s">
        <v>778</v>
      </c>
      <c r="C157" s="4">
        <v>2024</v>
      </c>
      <c r="D157" s="4" t="s">
        <v>1001</v>
      </c>
      <c r="E157" s="4" t="s">
        <v>276</v>
      </c>
      <c r="F157" s="4" t="s">
        <v>1002</v>
      </c>
      <c r="G157" s="4" t="s">
        <v>1003</v>
      </c>
      <c r="H157" s="4" t="s">
        <v>1004</v>
      </c>
      <c r="I157" s="4" t="s">
        <v>1005</v>
      </c>
      <c r="J157" s="4" t="s">
        <v>1006</v>
      </c>
      <c r="K157" s="4" t="s">
        <v>17</v>
      </c>
      <c r="L157" s="4" t="s">
        <v>1007</v>
      </c>
    </row>
    <row r="158" spans="1:12" ht="57.5" x14ac:dyDescent="0.35">
      <c r="A158" s="4" t="s">
        <v>777</v>
      </c>
      <c r="B158" s="4" t="s">
        <v>786</v>
      </c>
      <c r="C158" s="4">
        <v>2024</v>
      </c>
      <c r="D158" s="4" t="s">
        <v>1008</v>
      </c>
      <c r="E158" s="4" t="s">
        <v>280</v>
      </c>
      <c r="F158" s="4" t="s">
        <v>1009</v>
      </c>
      <c r="G158" s="4" t="s">
        <v>1010</v>
      </c>
      <c r="H158" s="4" t="s">
        <v>1011</v>
      </c>
      <c r="I158" s="4" t="s">
        <v>872</v>
      </c>
      <c r="J158" s="4" t="s">
        <v>1012</v>
      </c>
      <c r="K158" s="4" t="s">
        <v>17</v>
      </c>
      <c r="L158" s="4" t="s">
        <v>1013</v>
      </c>
    </row>
    <row r="159" spans="1:12" ht="57.5" x14ac:dyDescent="0.35">
      <c r="A159" s="4" t="s">
        <v>777</v>
      </c>
      <c r="B159" s="4" t="s">
        <v>310</v>
      </c>
      <c r="C159" s="4">
        <v>2024</v>
      </c>
      <c r="D159" s="4" t="s">
        <v>1014</v>
      </c>
      <c r="E159" s="4" t="s">
        <v>288</v>
      </c>
      <c r="F159" s="4" t="s">
        <v>1015</v>
      </c>
      <c r="G159" s="4" t="s">
        <v>1016</v>
      </c>
      <c r="H159" s="4" t="s">
        <v>1017</v>
      </c>
      <c r="I159" s="4" t="s">
        <v>1018</v>
      </c>
      <c r="J159" s="4" t="s">
        <v>1019</v>
      </c>
      <c r="K159" s="4" t="s">
        <v>26</v>
      </c>
      <c r="L159" s="4" t="s">
        <v>1020</v>
      </c>
    </row>
    <row r="160" spans="1:12" ht="46" x14ac:dyDescent="0.35">
      <c r="A160" s="4" t="s">
        <v>777</v>
      </c>
      <c r="B160" s="4" t="s">
        <v>318</v>
      </c>
      <c r="C160" s="4">
        <v>2024</v>
      </c>
      <c r="D160" s="4" t="s">
        <v>1021</v>
      </c>
      <c r="E160" s="4" t="s">
        <v>292</v>
      </c>
      <c r="F160" s="4" t="s">
        <v>1022</v>
      </c>
      <c r="G160" s="4" t="s">
        <v>1023</v>
      </c>
      <c r="H160" s="4" t="s">
        <v>1024</v>
      </c>
      <c r="I160" s="4" t="s">
        <v>1025</v>
      </c>
      <c r="J160" s="4" t="s">
        <v>1026</v>
      </c>
      <c r="K160" s="4" t="s">
        <v>17</v>
      </c>
      <c r="L160" s="4" t="s">
        <v>1027</v>
      </c>
    </row>
    <row r="161" spans="1:16" ht="46" x14ac:dyDescent="0.35">
      <c r="A161" s="4" t="s">
        <v>777</v>
      </c>
      <c r="B161" s="4" t="s">
        <v>306</v>
      </c>
      <c r="C161" s="4">
        <v>2024</v>
      </c>
      <c r="D161" s="4" t="s">
        <v>1028</v>
      </c>
      <c r="E161" s="4" t="s">
        <v>299</v>
      </c>
      <c r="F161" s="4" t="s">
        <v>1029</v>
      </c>
      <c r="G161" s="4">
        <v>3.14</v>
      </c>
      <c r="H161" s="4">
        <v>2.71</v>
      </c>
      <c r="I161" s="4">
        <v>1.61</v>
      </c>
      <c r="J161" s="4">
        <v>1.41</v>
      </c>
      <c r="K161" s="4" t="s">
        <v>17</v>
      </c>
      <c r="L161" s="4" t="s">
        <v>1030</v>
      </c>
    </row>
    <row r="162" spans="1:16" ht="103.5" x14ac:dyDescent="0.35">
      <c r="A162" s="4" t="s">
        <v>1031</v>
      </c>
      <c r="B162" s="4" t="s">
        <v>310</v>
      </c>
      <c r="C162" s="4">
        <v>2024</v>
      </c>
      <c r="D162" s="4" t="s">
        <v>1032</v>
      </c>
      <c r="E162" s="4" t="s">
        <v>15</v>
      </c>
      <c r="F162" s="4" t="s">
        <v>1033</v>
      </c>
      <c r="G162" s="4" t="s">
        <v>1034</v>
      </c>
      <c r="H162" s="4" t="s">
        <v>1035</v>
      </c>
      <c r="I162" s="4" t="s">
        <v>1036</v>
      </c>
      <c r="J162" s="4" t="s">
        <v>1037</v>
      </c>
      <c r="K162" s="4" t="s">
        <v>17</v>
      </c>
      <c r="L162" s="4" t="s">
        <v>1038</v>
      </c>
      <c r="M162" s="1"/>
      <c r="N162" s="1"/>
      <c r="O162" s="1"/>
      <c r="P162" s="1"/>
    </row>
    <row r="163" spans="1:16" ht="80.5" x14ac:dyDescent="0.35">
      <c r="A163" s="4" t="s">
        <v>1031</v>
      </c>
      <c r="B163" s="4" t="s">
        <v>318</v>
      </c>
      <c r="C163" s="4">
        <v>2024</v>
      </c>
      <c r="D163" s="4" t="s">
        <v>1039</v>
      </c>
      <c r="E163" s="4" t="s">
        <v>21</v>
      </c>
      <c r="F163" s="4" t="s">
        <v>1040</v>
      </c>
      <c r="G163" s="4" t="s">
        <v>593</v>
      </c>
      <c r="H163" s="4" t="s">
        <v>1041</v>
      </c>
      <c r="I163" s="4" t="s">
        <v>1042</v>
      </c>
      <c r="J163" s="4" t="s">
        <v>1043</v>
      </c>
      <c r="K163" s="4" t="s">
        <v>17</v>
      </c>
      <c r="L163" s="4" t="s">
        <v>1044</v>
      </c>
      <c r="M163" s="1"/>
      <c r="N163" s="1"/>
      <c r="O163" s="1"/>
      <c r="P163" s="1"/>
    </row>
    <row r="164" spans="1:16" ht="46" x14ac:dyDescent="0.35">
      <c r="A164" s="4" t="s">
        <v>1031</v>
      </c>
      <c r="B164" s="4" t="s">
        <v>306</v>
      </c>
      <c r="C164" s="4">
        <v>2024</v>
      </c>
      <c r="D164" s="4" t="s">
        <v>1045</v>
      </c>
      <c r="E164" s="4" t="s">
        <v>30</v>
      </c>
      <c r="F164" s="4" t="s">
        <v>1046</v>
      </c>
      <c r="G164" s="4" t="s">
        <v>1047</v>
      </c>
      <c r="H164" s="4" t="s">
        <v>1048</v>
      </c>
      <c r="I164" s="4" t="s">
        <v>1049</v>
      </c>
      <c r="J164" s="4">
        <v>1</v>
      </c>
      <c r="K164" s="4" t="s">
        <v>17</v>
      </c>
      <c r="L164" s="4" t="s">
        <v>1050</v>
      </c>
      <c r="M164" s="1"/>
      <c r="N164" s="1"/>
      <c r="O164" s="1"/>
      <c r="P164" s="1"/>
    </row>
    <row r="165" spans="1:16" ht="34.5" x14ac:dyDescent="0.35">
      <c r="A165" s="4" t="s">
        <v>1031</v>
      </c>
      <c r="B165" s="4" t="s">
        <v>786</v>
      </c>
      <c r="C165" s="4">
        <v>2024</v>
      </c>
      <c r="D165" s="4" t="s">
        <v>1051</v>
      </c>
      <c r="E165" s="4" t="s">
        <v>38</v>
      </c>
      <c r="F165" s="4" t="s">
        <v>1052</v>
      </c>
      <c r="G165" s="4" t="s">
        <v>1053</v>
      </c>
      <c r="H165" s="4" t="s">
        <v>869</v>
      </c>
      <c r="I165" s="4" t="s">
        <v>872</v>
      </c>
      <c r="J165" s="4" t="s">
        <v>1011</v>
      </c>
      <c r="K165" s="4" t="s">
        <v>17</v>
      </c>
      <c r="L165" s="4" t="s">
        <v>1054</v>
      </c>
      <c r="M165" s="1"/>
      <c r="N165" s="1"/>
      <c r="O165" s="1"/>
      <c r="P165" s="1"/>
    </row>
    <row r="166" spans="1:16" ht="138" x14ac:dyDescent="0.35">
      <c r="A166" s="4" t="s">
        <v>1031</v>
      </c>
      <c r="B166" s="4" t="s">
        <v>310</v>
      </c>
      <c r="C166" s="4">
        <v>2024</v>
      </c>
      <c r="D166" s="4" t="s">
        <v>1055</v>
      </c>
      <c r="E166" s="4" t="s">
        <v>42</v>
      </c>
      <c r="F166" s="4" t="s">
        <v>1056</v>
      </c>
      <c r="G166" s="4" t="s">
        <v>1057</v>
      </c>
      <c r="H166" s="4" t="s">
        <v>1058</v>
      </c>
      <c r="I166" s="4" t="s">
        <v>1059</v>
      </c>
      <c r="J166" s="4" t="s">
        <v>1060</v>
      </c>
      <c r="K166" s="4" t="s">
        <v>26</v>
      </c>
      <c r="L166" s="4" t="s">
        <v>1061</v>
      </c>
      <c r="M166" s="1"/>
      <c r="N166" s="1"/>
      <c r="O166" s="1"/>
      <c r="P166" s="1"/>
    </row>
    <row r="167" spans="1:16" ht="115" x14ac:dyDescent="0.35">
      <c r="A167" s="4" t="s">
        <v>1031</v>
      </c>
      <c r="B167" s="4" t="s">
        <v>318</v>
      </c>
      <c r="C167" s="4">
        <v>2024</v>
      </c>
      <c r="D167" s="4" t="s">
        <v>1062</v>
      </c>
      <c r="E167" s="4" t="s">
        <v>50</v>
      </c>
      <c r="F167" s="4" t="s">
        <v>1063</v>
      </c>
      <c r="G167" s="4" t="s">
        <v>629</v>
      </c>
      <c r="H167" s="4" t="s">
        <v>1064</v>
      </c>
      <c r="I167" s="4" t="s">
        <v>1065</v>
      </c>
      <c r="J167" s="4" t="s">
        <v>1066</v>
      </c>
      <c r="K167" s="4" t="s">
        <v>26</v>
      </c>
      <c r="L167" s="4" t="s">
        <v>1067</v>
      </c>
      <c r="M167" s="1"/>
      <c r="N167" s="1"/>
      <c r="O167" s="1"/>
      <c r="P167" s="1"/>
    </row>
    <row r="168" spans="1:16" ht="34.5" x14ac:dyDescent="0.35">
      <c r="A168" s="4" t="s">
        <v>1031</v>
      </c>
      <c r="B168" s="4" t="s">
        <v>306</v>
      </c>
      <c r="C168" s="4">
        <v>2024</v>
      </c>
      <c r="D168" s="4" t="s">
        <v>1068</v>
      </c>
      <c r="E168" s="4" t="s">
        <v>58</v>
      </c>
      <c r="F168" s="4" t="s">
        <v>1069</v>
      </c>
      <c r="G168" s="4" t="s">
        <v>1070</v>
      </c>
      <c r="H168" s="4" t="s">
        <v>1071</v>
      </c>
      <c r="I168" s="4" t="s">
        <v>1072</v>
      </c>
      <c r="J168" s="4" t="s">
        <v>1073</v>
      </c>
      <c r="K168" s="4" t="s">
        <v>17</v>
      </c>
      <c r="L168" s="4" t="s">
        <v>1074</v>
      </c>
      <c r="M168" s="1"/>
      <c r="N168" s="1"/>
      <c r="O168" s="1"/>
      <c r="P168" s="1"/>
    </row>
    <row r="169" spans="1:16" ht="80.5" x14ac:dyDescent="0.35">
      <c r="A169" s="4" t="s">
        <v>1031</v>
      </c>
      <c r="B169" s="4" t="s">
        <v>786</v>
      </c>
      <c r="C169" s="4">
        <v>2024</v>
      </c>
      <c r="D169" s="4" t="s">
        <v>1075</v>
      </c>
      <c r="E169" s="4" t="s">
        <v>66</v>
      </c>
      <c r="F169" s="4" t="s">
        <v>1076</v>
      </c>
      <c r="G169" s="4" t="s">
        <v>1077</v>
      </c>
      <c r="H169" s="4" t="s">
        <v>1078</v>
      </c>
      <c r="I169" s="4" t="s">
        <v>1079</v>
      </c>
      <c r="J169" s="4" t="s">
        <v>1080</v>
      </c>
      <c r="K169" s="4" t="s">
        <v>26</v>
      </c>
      <c r="L169" s="4" t="s">
        <v>1081</v>
      </c>
      <c r="M169" s="1"/>
      <c r="N169" s="1"/>
      <c r="O169" s="1"/>
      <c r="P169" s="1"/>
    </row>
    <row r="170" spans="1:16" ht="103.5" x14ac:dyDescent="0.35">
      <c r="A170" s="4" t="s">
        <v>1031</v>
      </c>
      <c r="B170" s="4" t="s">
        <v>310</v>
      </c>
      <c r="C170" s="4">
        <v>2024</v>
      </c>
      <c r="D170" s="4" t="s">
        <v>1082</v>
      </c>
      <c r="E170" s="4" t="s">
        <v>74</v>
      </c>
      <c r="F170" s="4" t="s">
        <v>1083</v>
      </c>
      <c r="G170" s="4" t="s">
        <v>1084</v>
      </c>
      <c r="H170" s="4" t="s">
        <v>1085</v>
      </c>
      <c r="I170" s="4" t="s">
        <v>1086</v>
      </c>
      <c r="J170" s="4" t="s">
        <v>1087</v>
      </c>
      <c r="K170" s="4" t="s">
        <v>17</v>
      </c>
      <c r="L170" s="4" t="s">
        <v>1088</v>
      </c>
      <c r="M170" s="1"/>
      <c r="N170" s="1"/>
      <c r="O170" s="1"/>
      <c r="P170" s="1"/>
    </row>
    <row r="171" spans="1:16" ht="34.5" x14ac:dyDescent="0.35">
      <c r="A171" s="4" t="s">
        <v>1031</v>
      </c>
      <c r="B171" s="4" t="s">
        <v>318</v>
      </c>
      <c r="C171" s="4">
        <v>2024</v>
      </c>
      <c r="D171" s="4" t="s">
        <v>1089</v>
      </c>
      <c r="E171" s="4" t="s">
        <v>82</v>
      </c>
      <c r="F171" s="4" t="s">
        <v>1090</v>
      </c>
      <c r="G171" s="4" t="s">
        <v>1091</v>
      </c>
      <c r="H171" s="4" t="s">
        <v>1092</v>
      </c>
      <c r="I171" s="4" t="s">
        <v>593</v>
      </c>
      <c r="J171" s="4" t="s">
        <v>1093</v>
      </c>
      <c r="K171" s="4" t="s">
        <v>17</v>
      </c>
      <c r="L171" s="4" t="s">
        <v>1094</v>
      </c>
      <c r="M171" s="1"/>
      <c r="N171" s="1"/>
      <c r="O171" s="1"/>
      <c r="P171" s="1"/>
    </row>
    <row r="172" spans="1:16" ht="46" x14ac:dyDescent="0.35">
      <c r="A172" s="4" t="s">
        <v>1031</v>
      </c>
      <c r="B172" s="4" t="s">
        <v>306</v>
      </c>
      <c r="C172" s="4">
        <v>2024</v>
      </c>
      <c r="D172" s="4" t="s">
        <v>1095</v>
      </c>
      <c r="E172" s="4" t="s">
        <v>90</v>
      </c>
      <c r="F172" s="4" t="s">
        <v>1096</v>
      </c>
      <c r="G172" s="4">
        <v>2</v>
      </c>
      <c r="H172" s="4">
        <v>1</v>
      </c>
      <c r="I172" s="4">
        <v>0</v>
      </c>
      <c r="J172" s="4">
        <v>-1</v>
      </c>
      <c r="K172" s="4" t="s">
        <v>17</v>
      </c>
      <c r="L172" s="4" t="s">
        <v>1097</v>
      </c>
      <c r="M172" s="1"/>
      <c r="N172" s="1"/>
      <c r="O172" s="1"/>
      <c r="P172" s="1"/>
    </row>
    <row r="173" spans="1:16" ht="46" x14ac:dyDescent="0.35">
      <c r="A173" s="4" t="s">
        <v>1031</v>
      </c>
      <c r="B173" s="4" t="s">
        <v>786</v>
      </c>
      <c r="C173" s="4">
        <v>2024</v>
      </c>
      <c r="D173" s="4" t="s">
        <v>1098</v>
      </c>
      <c r="E173" s="4" t="s">
        <v>98</v>
      </c>
      <c r="F173" s="4" t="s">
        <v>1099</v>
      </c>
      <c r="G173" s="4" t="s">
        <v>1100</v>
      </c>
      <c r="H173" s="4" t="s">
        <v>1101</v>
      </c>
      <c r="I173" s="4" t="s">
        <v>1053</v>
      </c>
      <c r="J173" s="4" t="s">
        <v>1102</v>
      </c>
      <c r="K173" s="4" t="s">
        <v>17</v>
      </c>
      <c r="L173" s="4" t="s">
        <v>1103</v>
      </c>
      <c r="M173" s="1"/>
      <c r="N173" s="1"/>
      <c r="O173" s="1"/>
      <c r="P173" s="1"/>
    </row>
    <row r="174" spans="1:16" ht="69" x14ac:dyDescent="0.35">
      <c r="A174" s="4" t="s">
        <v>1031</v>
      </c>
      <c r="B174" s="4" t="s">
        <v>310</v>
      </c>
      <c r="C174" s="4">
        <v>2024</v>
      </c>
      <c r="D174" s="4" t="s">
        <v>1104</v>
      </c>
      <c r="E174" s="4" t="s">
        <v>107</v>
      </c>
      <c r="F174" s="4" t="s">
        <v>1105</v>
      </c>
      <c r="G174" s="4" t="s">
        <v>1106</v>
      </c>
      <c r="H174" s="4" t="s">
        <v>1107</v>
      </c>
      <c r="I174" s="4" t="s">
        <v>1108</v>
      </c>
      <c r="J174" s="4" t="s">
        <v>1109</v>
      </c>
      <c r="K174" s="4" t="s">
        <v>17</v>
      </c>
      <c r="L174" s="4" t="s">
        <v>1110</v>
      </c>
      <c r="M174" s="1"/>
      <c r="N174" s="1"/>
      <c r="O174" s="1"/>
      <c r="P174" s="1"/>
    </row>
    <row r="175" spans="1:16" ht="69" x14ac:dyDescent="0.35">
      <c r="A175" s="4" t="s">
        <v>1031</v>
      </c>
      <c r="B175" s="4" t="s">
        <v>318</v>
      </c>
      <c r="C175" s="4">
        <v>2024</v>
      </c>
      <c r="D175" s="4" t="s">
        <v>1111</v>
      </c>
      <c r="E175" s="4" t="s">
        <v>115</v>
      </c>
      <c r="F175" s="4" t="s">
        <v>1112</v>
      </c>
      <c r="G175" s="4" t="s">
        <v>591</v>
      </c>
      <c r="H175" s="4" t="s">
        <v>664</v>
      </c>
      <c r="I175" s="4" t="s">
        <v>593</v>
      </c>
      <c r="J175" s="4" t="s">
        <v>665</v>
      </c>
      <c r="K175" s="4" t="s">
        <v>17</v>
      </c>
      <c r="L175" s="4" t="s">
        <v>1113</v>
      </c>
      <c r="M175" s="1"/>
      <c r="N175" s="1"/>
      <c r="O175" s="1"/>
      <c r="P175" s="1"/>
    </row>
    <row r="176" spans="1:16" ht="46" x14ac:dyDescent="0.35">
      <c r="A176" s="4" t="s">
        <v>1031</v>
      </c>
      <c r="B176" s="4" t="s">
        <v>306</v>
      </c>
      <c r="C176" s="4">
        <v>2024</v>
      </c>
      <c r="D176" s="4" t="s">
        <v>1114</v>
      </c>
      <c r="E176" s="4" t="s">
        <v>123</v>
      </c>
      <c r="F176" s="4" t="s">
        <v>1115</v>
      </c>
      <c r="G176" s="4">
        <v>1</v>
      </c>
      <c r="H176" s="4">
        <v>0</v>
      </c>
      <c r="I176" s="4" t="s">
        <v>487</v>
      </c>
      <c r="J176" s="4" t="s">
        <v>1116</v>
      </c>
      <c r="K176" s="4" t="s">
        <v>17</v>
      </c>
      <c r="L176" s="4" t="s">
        <v>1117</v>
      </c>
      <c r="M176" s="1"/>
      <c r="N176" s="1"/>
      <c r="O176" s="1"/>
      <c r="P176" s="1"/>
    </row>
    <row r="177" spans="1:16" ht="46" x14ac:dyDescent="0.35">
      <c r="A177" s="4" t="s">
        <v>1031</v>
      </c>
      <c r="B177" s="4" t="s">
        <v>786</v>
      </c>
      <c r="C177" s="4">
        <v>2024</v>
      </c>
      <c r="D177" s="4" t="s">
        <v>1118</v>
      </c>
      <c r="E177" s="4" t="s">
        <v>131</v>
      </c>
      <c r="F177" s="4" t="s">
        <v>1119</v>
      </c>
      <c r="G177" s="4" t="s">
        <v>1120</v>
      </c>
      <c r="H177" s="4" t="s">
        <v>1121</v>
      </c>
      <c r="I177" s="4" t="s">
        <v>1122</v>
      </c>
      <c r="J177" s="4" t="s">
        <v>1123</v>
      </c>
      <c r="K177" s="4" t="s">
        <v>17</v>
      </c>
      <c r="L177" s="4" t="s">
        <v>1124</v>
      </c>
      <c r="M177" s="1"/>
      <c r="N177" s="1"/>
      <c r="O177" s="1"/>
      <c r="P177" s="1"/>
    </row>
    <row r="178" spans="1:16" ht="34.5" x14ac:dyDescent="0.35">
      <c r="A178" s="4" t="s">
        <v>1031</v>
      </c>
      <c r="B178" s="4" t="s">
        <v>310</v>
      </c>
      <c r="C178" s="4">
        <v>2024</v>
      </c>
      <c r="D178" s="4" t="s">
        <v>1125</v>
      </c>
      <c r="E178" s="4" t="s">
        <v>139</v>
      </c>
      <c r="F178" s="4" t="s">
        <v>1126</v>
      </c>
      <c r="G178" s="4" t="s">
        <v>1127</v>
      </c>
      <c r="H178" s="4" t="s">
        <v>1128</v>
      </c>
      <c r="I178" s="4" t="s">
        <v>1129</v>
      </c>
      <c r="J178" s="4" t="s">
        <v>1130</v>
      </c>
      <c r="K178" s="4" t="s">
        <v>17</v>
      </c>
      <c r="L178" s="4" t="s">
        <v>1131</v>
      </c>
      <c r="M178" s="1"/>
      <c r="N178" s="1"/>
      <c r="O178" s="1"/>
      <c r="P178" s="1"/>
    </row>
    <row r="179" spans="1:16" ht="57.5" x14ac:dyDescent="0.35">
      <c r="A179" s="4" t="s">
        <v>1031</v>
      </c>
      <c r="B179" s="4" t="s">
        <v>318</v>
      </c>
      <c r="C179" s="4">
        <v>2024</v>
      </c>
      <c r="D179" s="4" t="s">
        <v>1132</v>
      </c>
      <c r="E179" s="4" t="s">
        <v>147</v>
      </c>
      <c r="F179" s="4" t="s">
        <v>1133</v>
      </c>
      <c r="G179" s="4" t="s">
        <v>1134</v>
      </c>
      <c r="H179" s="4" t="s">
        <v>518</v>
      </c>
      <c r="I179" s="4" t="s">
        <v>1135</v>
      </c>
      <c r="J179" s="4" t="s">
        <v>410</v>
      </c>
      <c r="K179" s="4" t="s">
        <v>17</v>
      </c>
      <c r="L179" s="4" t="s">
        <v>1136</v>
      </c>
      <c r="M179" s="1"/>
      <c r="N179" s="1"/>
      <c r="O179" s="1"/>
      <c r="P179" s="1"/>
    </row>
    <row r="180" spans="1:16" ht="23" x14ac:dyDescent="0.35">
      <c r="A180" s="4" t="s">
        <v>1031</v>
      </c>
      <c r="B180" s="4" t="s">
        <v>306</v>
      </c>
      <c r="C180" s="4">
        <v>2024</v>
      </c>
      <c r="D180" s="4" t="s">
        <v>1137</v>
      </c>
      <c r="E180" s="4" t="s">
        <v>156</v>
      </c>
      <c r="F180" s="4" t="s">
        <v>1138</v>
      </c>
      <c r="G180" s="4" t="s">
        <v>1139</v>
      </c>
      <c r="H180" s="4" t="s">
        <v>1140</v>
      </c>
      <c r="I180" s="4" t="s">
        <v>1141</v>
      </c>
      <c r="J180" s="4" t="s">
        <v>1142</v>
      </c>
      <c r="K180" s="4" t="s">
        <v>17</v>
      </c>
      <c r="L180" s="4" t="s">
        <v>1143</v>
      </c>
      <c r="M180" s="1"/>
      <c r="N180" s="1"/>
      <c r="O180" s="1"/>
      <c r="P180" s="1"/>
    </row>
    <row r="181" spans="1:16" ht="92" x14ac:dyDescent="0.35">
      <c r="A181" s="4" t="s">
        <v>1031</v>
      </c>
      <c r="B181" s="4" t="s">
        <v>786</v>
      </c>
      <c r="C181" s="4">
        <v>2024</v>
      </c>
      <c r="D181" s="4" t="s">
        <v>1144</v>
      </c>
      <c r="E181" s="4" t="s">
        <v>163</v>
      </c>
      <c r="F181" s="4" t="s">
        <v>1145</v>
      </c>
      <c r="G181" s="4" t="s">
        <v>1146</v>
      </c>
      <c r="H181" s="4" t="s">
        <v>869</v>
      </c>
      <c r="I181" s="4" t="s">
        <v>1053</v>
      </c>
      <c r="J181" s="4" t="s">
        <v>1011</v>
      </c>
      <c r="K181" s="4" t="s">
        <v>17</v>
      </c>
      <c r="L181" s="4" t="s">
        <v>1147</v>
      </c>
      <c r="M181" s="1"/>
      <c r="N181" s="1"/>
      <c r="O181" s="1"/>
      <c r="P181" s="1"/>
    </row>
    <row r="182" spans="1:16" ht="80.5" x14ac:dyDescent="0.35">
      <c r="A182" s="4" t="s">
        <v>1031</v>
      </c>
      <c r="B182" s="4" t="s">
        <v>310</v>
      </c>
      <c r="C182" s="4">
        <v>2024</v>
      </c>
      <c r="D182" s="4" t="s">
        <v>1148</v>
      </c>
      <c r="E182" s="4" t="s">
        <v>171</v>
      </c>
      <c r="F182" s="4" t="s">
        <v>1149</v>
      </c>
      <c r="G182" s="4" t="s">
        <v>1150</v>
      </c>
      <c r="H182" s="4" t="s">
        <v>1151</v>
      </c>
      <c r="I182" s="4" t="s">
        <v>1152</v>
      </c>
      <c r="J182" s="4" t="s">
        <v>1153</v>
      </c>
      <c r="K182" s="4" t="s">
        <v>17</v>
      </c>
      <c r="L182" s="4" t="s">
        <v>1154</v>
      </c>
      <c r="M182" s="1"/>
      <c r="N182" s="1"/>
      <c r="O182" s="1"/>
      <c r="P182" s="1"/>
    </row>
    <row r="183" spans="1:16" ht="69" x14ac:dyDescent="0.35">
      <c r="A183" s="4" t="s">
        <v>1031</v>
      </c>
      <c r="B183" s="4" t="s">
        <v>318</v>
      </c>
      <c r="C183" s="4">
        <v>2024</v>
      </c>
      <c r="D183" s="4" t="s">
        <v>1155</v>
      </c>
      <c r="E183" s="4" t="s">
        <v>179</v>
      </c>
      <c r="F183" s="4" t="s">
        <v>1156</v>
      </c>
      <c r="G183" s="4" t="s">
        <v>665</v>
      </c>
      <c r="H183" s="4" t="s">
        <v>663</v>
      </c>
      <c r="I183" s="4" t="s">
        <v>591</v>
      </c>
      <c r="J183" s="4" t="s">
        <v>664</v>
      </c>
      <c r="K183" s="4" t="s">
        <v>17</v>
      </c>
      <c r="L183" s="4" t="s">
        <v>1157</v>
      </c>
      <c r="M183" s="1"/>
      <c r="N183" s="1"/>
      <c r="O183" s="1"/>
      <c r="P183" s="1"/>
    </row>
    <row r="184" spans="1:16" ht="46" x14ac:dyDescent="0.35">
      <c r="A184" s="4" t="s">
        <v>1031</v>
      </c>
      <c r="B184" s="4" t="s">
        <v>306</v>
      </c>
      <c r="C184" s="4">
        <v>2024</v>
      </c>
      <c r="D184" s="4" t="s">
        <v>1158</v>
      </c>
      <c r="E184" s="4" t="s">
        <v>186</v>
      </c>
      <c r="F184" s="4" t="s">
        <v>1159</v>
      </c>
      <c r="G184" s="4">
        <v>0.5</v>
      </c>
      <c r="H184" s="4">
        <v>1</v>
      </c>
      <c r="I184" s="4">
        <v>2</v>
      </c>
      <c r="J184" s="4">
        <v>0</v>
      </c>
      <c r="K184" s="4" t="s">
        <v>17</v>
      </c>
      <c r="L184" s="4" t="s">
        <v>1160</v>
      </c>
      <c r="M184" s="1"/>
      <c r="N184" s="1"/>
      <c r="O184" s="1"/>
      <c r="P184" s="1"/>
    </row>
    <row r="185" spans="1:16" ht="46" x14ac:dyDescent="0.35">
      <c r="A185" s="4" t="s">
        <v>1031</v>
      </c>
      <c r="B185" s="4" t="s">
        <v>786</v>
      </c>
      <c r="C185" s="4">
        <v>2024</v>
      </c>
      <c r="D185" s="4" t="s">
        <v>1161</v>
      </c>
      <c r="E185" s="4" t="s">
        <v>190</v>
      </c>
      <c r="F185" s="4" t="s">
        <v>1162</v>
      </c>
      <c r="G185" s="4" t="s">
        <v>869</v>
      </c>
      <c r="H185" s="4" t="s">
        <v>871</v>
      </c>
      <c r="I185" s="4" t="s">
        <v>1163</v>
      </c>
      <c r="J185" s="4" t="s">
        <v>1010</v>
      </c>
      <c r="K185" s="4" t="s">
        <v>17</v>
      </c>
      <c r="L185" s="4" t="s">
        <v>1164</v>
      </c>
      <c r="M185" s="1"/>
      <c r="N185" s="1"/>
      <c r="O185" s="1"/>
      <c r="P185" s="1"/>
    </row>
    <row r="186" spans="1:16" ht="103.5" x14ac:dyDescent="0.35">
      <c r="A186" s="4" t="s">
        <v>1031</v>
      </c>
      <c r="B186" s="4" t="s">
        <v>310</v>
      </c>
      <c r="C186" s="4">
        <v>2024</v>
      </c>
      <c r="D186" s="4" t="s">
        <v>1165</v>
      </c>
      <c r="E186" s="4" t="s">
        <v>198</v>
      </c>
      <c r="F186" s="4" t="s">
        <v>1166</v>
      </c>
      <c r="G186" s="4" t="s">
        <v>1167</v>
      </c>
      <c r="H186" s="4" t="s">
        <v>1168</v>
      </c>
      <c r="I186" s="4" t="s">
        <v>1169</v>
      </c>
      <c r="J186" s="4" t="s">
        <v>1170</v>
      </c>
      <c r="K186" s="4" t="s">
        <v>17</v>
      </c>
      <c r="L186" s="4" t="s">
        <v>1171</v>
      </c>
      <c r="M186" s="1"/>
      <c r="N186" s="1"/>
      <c r="O186" s="1"/>
      <c r="P186" s="1"/>
    </row>
    <row r="187" spans="1:16" ht="57.5" x14ac:dyDescent="0.35">
      <c r="A187" s="4" t="s">
        <v>1031</v>
      </c>
      <c r="B187" s="4" t="s">
        <v>318</v>
      </c>
      <c r="C187" s="4">
        <v>2024</v>
      </c>
      <c r="D187" s="4" t="s">
        <v>1172</v>
      </c>
      <c r="E187" s="4" t="s">
        <v>206</v>
      </c>
      <c r="F187" s="4" t="s">
        <v>1173</v>
      </c>
      <c r="G187" s="4" t="s">
        <v>1174</v>
      </c>
      <c r="H187" s="4" t="s">
        <v>1175</v>
      </c>
      <c r="I187" s="4" t="s">
        <v>1176</v>
      </c>
      <c r="J187" s="4" t="s">
        <v>1177</v>
      </c>
      <c r="K187" s="4" t="s">
        <v>17</v>
      </c>
      <c r="L187" s="4" t="s">
        <v>1178</v>
      </c>
      <c r="M187" s="1"/>
      <c r="N187" s="1"/>
      <c r="O187" s="1"/>
      <c r="P187" s="1"/>
    </row>
    <row r="188" spans="1:16" ht="57.5" x14ac:dyDescent="0.35">
      <c r="A188" s="4" t="s">
        <v>1031</v>
      </c>
      <c r="B188" s="4" t="s">
        <v>306</v>
      </c>
      <c r="C188" s="4">
        <v>2024</v>
      </c>
      <c r="D188" s="4" t="s">
        <v>1179</v>
      </c>
      <c r="E188" s="4" t="s">
        <v>214</v>
      </c>
      <c r="F188" s="4" t="s">
        <v>1180</v>
      </c>
      <c r="G188" s="4">
        <v>-1</v>
      </c>
      <c r="H188" s="4">
        <v>1</v>
      </c>
      <c r="I188" s="4">
        <v>0</v>
      </c>
      <c r="J188" s="4">
        <v>-2</v>
      </c>
      <c r="K188" s="4" t="s">
        <v>17</v>
      </c>
      <c r="L188" s="4" t="s">
        <v>1181</v>
      </c>
      <c r="M188" s="1"/>
      <c r="N188" s="1"/>
      <c r="O188" s="1"/>
      <c r="P188" s="1"/>
    </row>
    <row r="189" spans="1:16" ht="46" x14ac:dyDescent="0.35">
      <c r="A189" s="4" t="s">
        <v>1031</v>
      </c>
      <c r="B189" s="4" t="s">
        <v>786</v>
      </c>
      <c r="C189" s="4">
        <v>2024</v>
      </c>
      <c r="D189" s="4" t="s">
        <v>1182</v>
      </c>
      <c r="E189" s="4" t="s">
        <v>222</v>
      </c>
      <c r="F189" s="4" t="s">
        <v>1183</v>
      </c>
      <c r="G189" s="4" t="s">
        <v>1184</v>
      </c>
      <c r="H189" s="4" t="s">
        <v>869</v>
      </c>
      <c r="I189" s="4" t="s">
        <v>870</v>
      </c>
      <c r="J189" s="4" t="s">
        <v>1185</v>
      </c>
      <c r="K189" s="4" t="s">
        <v>17</v>
      </c>
      <c r="L189" s="4" t="s">
        <v>1186</v>
      </c>
      <c r="M189" s="1"/>
      <c r="N189" s="1"/>
      <c r="O189" s="1"/>
      <c r="P189" s="1"/>
    </row>
    <row r="190" spans="1:16" ht="69" x14ac:dyDescent="0.35">
      <c r="A190" s="4" t="s">
        <v>1031</v>
      </c>
      <c r="B190" s="4" t="s">
        <v>310</v>
      </c>
      <c r="C190" s="4">
        <v>2024</v>
      </c>
      <c r="D190" s="4" t="s">
        <v>1187</v>
      </c>
      <c r="E190" s="4" t="s">
        <v>229</v>
      </c>
      <c r="F190" s="4" t="s">
        <v>1188</v>
      </c>
      <c r="G190" s="4" t="s">
        <v>1189</v>
      </c>
      <c r="H190" s="4" t="s">
        <v>1190</v>
      </c>
      <c r="I190" s="4" t="s">
        <v>1191</v>
      </c>
      <c r="J190" s="4" t="s">
        <v>1192</v>
      </c>
      <c r="K190" s="4" t="s">
        <v>17</v>
      </c>
      <c r="L190" s="4" t="s">
        <v>1193</v>
      </c>
      <c r="M190" s="1"/>
      <c r="N190" s="1"/>
      <c r="O190" s="1"/>
      <c r="P190" s="1"/>
    </row>
    <row r="191" spans="1:16" ht="34.5" x14ac:dyDescent="0.35">
      <c r="A191" s="4" t="s">
        <v>1031</v>
      </c>
      <c r="B191" s="4" t="s">
        <v>318</v>
      </c>
      <c r="C191" s="4">
        <v>2024</v>
      </c>
      <c r="D191" s="4" t="s">
        <v>1194</v>
      </c>
      <c r="E191" s="4" t="s">
        <v>237</v>
      </c>
      <c r="F191" s="4" t="s">
        <v>1195</v>
      </c>
      <c r="G191" s="4" t="s">
        <v>971</v>
      </c>
      <c r="H191" s="4" t="s">
        <v>1196</v>
      </c>
      <c r="I191" s="4" t="s">
        <v>1197</v>
      </c>
      <c r="J191" s="4" t="s">
        <v>1198</v>
      </c>
      <c r="K191" s="4" t="s">
        <v>17</v>
      </c>
      <c r="L191" s="4" t="s">
        <v>1199</v>
      </c>
      <c r="M191" s="1"/>
      <c r="N191" s="1"/>
      <c r="O191" s="1"/>
      <c r="P191" s="1"/>
    </row>
    <row r="192" spans="1:16" ht="34.5" x14ac:dyDescent="0.35">
      <c r="A192" s="4" t="s">
        <v>1031</v>
      </c>
      <c r="B192" s="4" t="s">
        <v>306</v>
      </c>
      <c r="C192" s="4">
        <v>2024</v>
      </c>
      <c r="D192" s="4" t="s">
        <v>1200</v>
      </c>
      <c r="E192" s="4" t="s">
        <v>241</v>
      </c>
      <c r="F192" s="4" t="s">
        <v>465</v>
      </c>
      <c r="G192" s="4" t="s">
        <v>466</v>
      </c>
      <c r="H192" s="4" t="s">
        <v>467</v>
      </c>
      <c r="I192" s="4" t="s">
        <v>709</v>
      </c>
      <c r="J192" s="4" t="s">
        <v>708</v>
      </c>
      <c r="K192" s="4" t="s">
        <v>17</v>
      </c>
      <c r="L192" s="4" t="s">
        <v>1201</v>
      </c>
      <c r="M192" s="1"/>
      <c r="N192" s="1"/>
      <c r="O192" s="1"/>
      <c r="P192" s="1"/>
    </row>
    <row r="193" spans="1:16" ht="46" x14ac:dyDescent="0.35">
      <c r="A193" s="4" t="s">
        <v>1031</v>
      </c>
      <c r="B193" s="4" t="s">
        <v>786</v>
      </c>
      <c r="C193" s="4">
        <v>2024</v>
      </c>
      <c r="D193" s="4" t="s">
        <v>1202</v>
      </c>
      <c r="E193" s="4" t="s">
        <v>249</v>
      </c>
      <c r="F193" s="4" t="s">
        <v>1203</v>
      </c>
      <c r="G193" s="4" t="s">
        <v>1204</v>
      </c>
      <c r="H193" s="4" t="s">
        <v>1205</v>
      </c>
      <c r="I193" s="4" t="s">
        <v>1206</v>
      </c>
      <c r="J193" s="4" t="s">
        <v>1207</v>
      </c>
      <c r="K193" s="4" t="s">
        <v>17</v>
      </c>
      <c r="L193" s="4" t="s">
        <v>1208</v>
      </c>
      <c r="M193" s="1"/>
      <c r="N193" s="1"/>
      <c r="O193" s="1"/>
      <c r="P193" s="1"/>
    </row>
    <row r="194" spans="1:16" ht="46" x14ac:dyDescent="0.35">
      <c r="A194" s="4" t="s">
        <v>1031</v>
      </c>
      <c r="B194" s="4" t="s">
        <v>310</v>
      </c>
      <c r="C194" s="4">
        <v>2024</v>
      </c>
      <c r="D194" s="4" t="s">
        <v>1209</v>
      </c>
      <c r="E194" s="4" t="s">
        <v>257</v>
      </c>
      <c r="F194" s="4" t="s">
        <v>1210</v>
      </c>
      <c r="G194" s="4" t="s">
        <v>1128</v>
      </c>
      <c r="H194" s="4" t="s">
        <v>1127</v>
      </c>
      <c r="I194" s="4" t="s">
        <v>1211</v>
      </c>
      <c r="J194" s="4" t="s">
        <v>1212</v>
      </c>
      <c r="K194" s="4" t="s">
        <v>17</v>
      </c>
      <c r="L194" s="4" t="s">
        <v>1213</v>
      </c>
      <c r="M194" s="1"/>
      <c r="N194" s="1"/>
      <c r="O194" s="1"/>
      <c r="P194" s="1"/>
    </row>
    <row r="195" spans="1:16" ht="57.5" x14ac:dyDescent="0.35">
      <c r="A195" s="4" t="s">
        <v>1031</v>
      </c>
      <c r="B195" s="4" t="s">
        <v>318</v>
      </c>
      <c r="C195" s="4">
        <v>2024</v>
      </c>
      <c r="D195" s="4" t="s">
        <v>1214</v>
      </c>
      <c r="E195" s="4" t="s">
        <v>261</v>
      </c>
      <c r="F195" s="4" t="s">
        <v>1215</v>
      </c>
      <c r="G195" s="4" t="s">
        <v>410</v>
      </c>
      <c r="H195" s="4" t="s">
        <v>521</v>
      </c>
      <c r="I195" s="4" t="s">
        <v>1216</v>
      </c>
      <c r="J195" s="4" t="s">
        <v>908</v>
      </c>
      <c r="K195" s="4" t="s">
        <v>17</v>
      </c>
      <c r="L195" s="4" t="s">
        <v>1217</v>
      </c>
      <c r="M195" s="1"/>
      <c r="N195" s="1"/>
      <c r="O195" s="1"/>
      <c r="P195" s="1"/>
    </row>
    <row r="196" spans="1:16" ht="57.5" x14ac:dyDescent="0.35">
      <c r="A196" s="4" t="s">
        <v>1031</v>
      </c>
      <c r="B196" s="4" t="s">
        <v>306</v>
      </c>
      <c r="C196" s="4">
        <v>2024</v>
      </c>
      <c r="D196" s="4" t="s">
        <v>1218</v>
      </c>
      <c r="E196" s="4" t="s">
        <v>268</v>
      </c>
      <c r="F196" s="4" t="s">
        <v>1219</v>
      </c>
      <c r="G196" s="4" t="s">
        <v>1116</v>
      </c>
      <c r="H196" s="4">
        <v>1</v>
      </c>
      <c r="I196" s="4">
        <v>0</v>
      </c>
      <c r="J196" s="4" t="s">
        <v>487</v>
      </c>
      <c r="K196" s="4" t="s">
        <v>17</v>
      </c>
      <c r="L196" s="4" t="s">
        <v>1220</v>
      </c>
      <c r="M196" s="1"/>
      <c r="N196" s="1"/>
      <c r="O196" s="1"/>
      <c r="P196" s="1"/>
    </row>
    <row r="197" spans="1:16" ht="46" x14ac:dyDescent="0.35">
      <c r="A197" s="4" t="s">
        <v>1031</v>
      </c>
      <c r="B197" s="4" t="s">
        <v>786</v>
      </c>
      <c r="C197" s="4">
        <v>2024</v>
      </c>
      <c r="D197" s="4" t="s">
        <v>1221</v>
      </c>
      <c r="E197" s="4" t="s">
        <v>276</v>
      </c>
      <c r="F197" s="4" t="s">
        <v>1222</v>
      </c>
      <c r="G197" s="4" t="s">
        <v>1223</v>
      </c>
      <c r="H197" s="4" t="s">
        <v>1224</v>
      </c>
      <c r="I197" s="4" t="s">
        <v>1225</v>
      </c>
      <c r="J197" s="4" t="s">
        <v>1226</v>
      </c>
      <c r="K197" s="4" t="s">
        <v>17</v>
      </c>
      <c r="L197" s="4" t="s">
        <v>1227</v>
      </c>
      <c r="M197" s="1"/>
      <c r="N197" s="1"/>
      <c r="O197" s="1"/>
      <c r="P197" s="1"/>
    </row>
    <row r="198" spans="1:16" ht="46" x14ac:dyDescent="0.35">
      <c r="A198" s="4" t="s">
        <v>1031</v>
      </c>
      <c r="B198" s="4" t="s">
        <v>310</v>
      </c>
      <c r="C198" s="4">
        <v>2024</v>
      </c>
      <c r="D198" s="4" t="s">
        <v>1228</v>
      </c>
      <c r="E198" s="4" t="s">
        <v>280</v>
      </c>
      <c r="F198" s="4" t="s">
        <v>1229</v>
      </c>
      <c r="G198" s="4" t="s">
        <v>1230</v>
      </c>
      <c r="H198" s="4" t="s">
        <v>1231</v>
      </c>
      <c r="I198" s="4" t="s">
        <v>1232</v>
      </c>
      <c r="J198" s="4" t="s">
        <v>1233</v>
      </c>
      <c r="K198" s="4" t="s">
        <v>17</v>
      </c>
      <c r="L198" s="4" t="s">
        <v>1234</v>
      </c>
      <c r="M198" s="1"/>
      <c r="N198" s="1"/>
      <c r="O198" s="1"/>
      <c r="P198" s="1"/>
    </row>
    <row r="199" spans="1:16" ht="57.5" x14ac:dyDescent="0.35">
      <c r="A199" s="4" t="s">
        <v>1031</v>
      </c>
      <c r="B199" s="4" t="s">
        <v>318</v>
      </c>
      <c r="C199" s="4">
        <v>2024</v>
      </c>
      <c r="D199" s="4" t="s">
        <v>1235</v>
      </c>
      <c r="E199" s="4" t="s">
        <v>288</v>
      </c>
      <c r="F199" s="4" t="s">
        <v>1236</v>
      </c>
      <c r="G199" s="4" t="s">
        <v>591</v>
      </c>
      <c r="H199" s="4" t="s">
        <v>664</v>
      </c>
      <c r="I199" s="4" t="s">
        <v>593</v>
      </c>
      <c r="J199" s="4" t="s">
        <v>665</v>
      </c>
      <c r="K199" s="4" t="s">
        <v>26</v>
      </c>
      <c r="L199" s="4" t="s">
        <v>1237</v>
      </c>
      <c r="M199" s="1"/>
      <c r="N199" s="1"/>
      <c r="O199" s="1"/>
      <c r="P199" s="1"/>
    </row>
    <row r="200" spans="1:16" ht="34.5" x14ac:dyDescent="0.35">
      <c r="A200" s="4" t="s">
        <v>1031</v>
      </c>
      <c r="B200" s="4" t="s">
        <v>306</v>
      </c>
      <c r="C200" s="4">
        <v>2024</v>
      </c>
      <c r="D200" s="4" t="s">
        <v>1238</v>
      </c>
      <c r="E200" s="4" t="s">
        <v>292</v>
      </c>
      <c r="F200" s="4" t="s">
        <v>1239</v>
      </c>
      <c r="G200" s="4" t="s">
        <v>635</v>
      </c>
      <c r="H200" s="4" t="s">
        <v>1241</v>
      </c>
      <c r="I200" s="4" t="s">
        <v>637</v>
      </c>
      <c r="J200" s="4" t="s">
        <v>1240</v>
      </c>
      <c r="K200" s="4" t="s">
        <v>17</v>
      </c>
      <c r="L200" s="4" t="s">
        <v>1242</v>
      </c>
      <c r="O200" s="2"/>
      <c r="P200" s="2"/>
    </row>
    <row r="201" spans="1:16" ht="69" x14ac:dyDescent="0.35">
      <c r="A201" s="4" t="s">
        <v>1031</v>
      </c>
      <c r="B201" s="4" t="s">
        <v>786</v>
      </c>
      <c r="C201" s="4">
        <v>2024</v>
      </c>
      <c r="D201" s="4" t="s">
        <v>1243</v>
      </c>
      <c r="E201" s="4" t="s">
        <v>299</v>
      </c>
      <c r="F201" s="4" t="s">
        <v>1244</v>
      </c>
      <c r="G201" s="4" t="s">
        <v>872</v>
      </c>
      <c r="H201" s="4" t="s">
        <v>1053</v>
      </c>
      <c r="I201" s="4" t="s">
        <v>869</v>
      </c>
      <c r="J201" s="4" t="s">
        <v>1011</v>
      </c>
      <c r="K201" s="4" t="s">
        <v>104</v>
      </c>
      <c r="L201" s="4" t="s">
        <v>1245</v>
      </c>
      <c r="M201" s="1"/>
      <c r="N201" s="1"/>
      <c r="O201" s="1"/>
      <c r="P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TAMMOUCH</dc:creator>
  <cp:lastModifiedBy>ILYAS TAMMOUCH</cp:lastModifiedBy>
  <dcterms:created xsi:type="dcterms:W3CDTF">2026-07-12T14:59:10Z</dcterms:created>
  <dcterms:modified xsi:type="dcterms:W3CDTF">2026-07-12T15:04:25Z</dcterms:modified>
</cp:coreProperties>
</file>